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Roadmap" sheetId="1" r:id="rId5"/>
    <sheet state="visible" name="User Roles" sheetId="2" r:id="rId6"/>
    <sheet state="visible" name="User Stories" sheetId="3" r:id="rId7"/>
    <sheet state="visible" name="Priority" sheetId="4" r:id="rId8"/>
    <sheet state="visible" name="Release Plan &amp; MVP Plan" sheetId="5" r:id="rId9"/>
  </sheets>
  <definedNames>
    <definedName hidden="1" localSheetId="3" name="_xlnm._FilterDatabase">Priority!$A$2:$I$39</definedName>
  </definedNames>
  <calcPr/>
</workbook>
</file>

<file path=xl/sharedStrings.xml><?xml version="1.0" encoding="utf-8"?>
<sst xmlns="http://schemas.openxmlformats.org/spreadsheetml/2006/main" count="312" uniqueCount="194">
  <si>
    <r>
      <rPr>
        <rFont val="Arial"/>
        <b/>
        <color theme="1"/>
      </rPr>
      <t xml:space="preserve">Instructions: </t>
    </r>
    <r>
      <rPr>
        <rFont val="Arial"/>
        <b val="0"/>
        <color theme="1"/>
      </rPr>
      <t>Create User Stories and Acceptance Criteria in the sheet using the 7 user roles that have been identified in the yellow user role tab. 
Two user stories have been provided for you for each role.
Create at least 2 more user stories for each role based on the needs of each user. 
You will have at least 28 total user stories when finished.
List at least 2 acceptance criteria for each User Story</t>
    </r>
  </si>
  <si>
    <r>
      <rPr>
        <rFont val="Arial"/>
        <b/>
        <color theme="1"/>
        <sz val="10.0"/>
      </rPr>
      <t>Instructions:</t>
    </r>
    <r>
      <rPr>
        <rFont val="Arial"/>
        <color theme="1"/>
        <sz val="10.0"/>
      </rPr>
      <t xml:space="preserve"> Based on the scenario, place the Product Features into the phases on the Product Roadmap. 
The product features should be orderd so that the highest value features are delivered to users first and the simple to implement features are delivered before the more complex features. 
The product Features are listed in Column A. Each Cell in the four phases of the Product Roadmap has a dropdown list that allows you to select the product features that you want to appear in that phase of the roadmap. Every feature must be added to a Phase of the roadmap.</t>
    </r>
  </si>
  <si>
    <r>
      <rPr>
        <rFont val="Arial"/>
        <b/>
        <color theme="1"/>
      </rPr>
      <t>Instructions:</t>
    </r>
    <r>
      <rPr>
        <rFont val="Arial"/>
        <color theme="1"/>
      </rPr>
      <t xml:space="preserve"> Below are 7 user roles that have been identified for the product and a brief description for how each user will interact with the product. These user roles can be used to create user stories in the blue "User Story" tab. </t>
    </r>
  </si>
  <si>
    <t xml:space="preserve">As a.. </t>
  </si>
  <si>
    <t>Product Feature List</t>
  </si>
  <si>
    <t>....I can...</t>
  </si>
  <si>
    <t>...so that...</t>
  </si>
  <si>
    <t>Completed User Story</t>
  </si>
  <si>
    <t>Acceptance Criteria (Minimum of 2)</t>
  </si>
  <si>
    <t>Phase 1</t>
  </si>
  <si>
    <r>
      <rPr>
        <rFont val="Arial"/>
        <b/>
        <color theme="1"/>
      </rPr>
      <t xml:space="preserve">Instructions: </t>
    </r>
    <r>
      <rPr>
        <rFont val="Arial"/>
        <b val="0"/>
        <color theme="1"/>
      </rPr>
      <t xml:space="preserve">All of the user stories that you created will automatically appear in this sheet.
Prioritize the user stories so that the highest value features are delivered to users first using the following parameters: 
There are 3 Releases- Release 1-MVP, Release 2, and Release 3 (All contained in the dropdown menus in Column D)
-Release 1-MVP can only have 10 user stories
-Release 2 can only have 10 user stories
-Release 3 can only have 5 user stories
-All remaining user stories are assigned to "Backlog for Future Release"
</t>
    </r>
    <r>
      <rPr>
        <rFont val="Arial"/>
        <b/>
        <i/>
        <color theme="1"/>
        <u/>
      </rPr>
      <t>Hints/Tips:</t>
    </r>
    <r>
      <rPr>
        <rFont val="Arial"/>
        <b val="0"/>
        <i/>
        <color theme="1"/>
      </rPr>
      <t xml:space="preserve">
-Question if a user role has too much functionality to be in the MVP release.
-Question what is a nice-to-have vs high-value based on the scenario and vision.
-Question if you should trade off- what is the worst thing that could happen if the user had to wait for that functionality to come later.
-Refine, rewrite, or delete a user story in the blue user story tab if it doesn’t fit into your Release or MVP plan</t>
    </r>
  </si>
  <si>
    <t>Phase 2</t>
  </si>
  <si>
    <t>Roles</t>
  </si>
  <si>
    <t>CDC Official</t>
  </si>
  <si>
    <t>Phase 3</t>
  </si>
  <si>
    <t>view regional case counts on a heatmap</t>
  </si>
  <si>
    <t>Personas</t>
  </si>
  <si>
    <t>Phase 4</t>
  </si>
  <si>
    <t>I can identify outbreak hotspots and direct the response</t>
  </si>
  <si>
    <t>As a CDC Official, I can view regional case counts on a heatmap so that I can identify outbreak hotspots and direct the response.</t>
  </si>
  <si>
    <t>CDC Officials</t>
  </si>
  <si>
    <t>Case data is displayed only in anonymous aggregate form; The view can be filtered by state, county, and reporting period; The most recent data refresh time is visible.</t>
  </si>
  <si>
    <t>Role</t>
  </si>
  <si>
    <t>Will use product to determine where to apply funding and send test kits</t>
  </si>
  <si>
    <t>Initial Architecture/Database Setup &amp; Design</t>
  </si>
  <si>
    <t>User Story</t>
  </si>
  <si>
    <t>Acceptance Critieria</t>
  </si>
  <si>
    <t>System Administrators</t>
  </si>
  <si>
    <t>Release</t>
  </si>
  <si>
    <t>Responsible for governing all roles of the product. This role is not a health professional. This role maintains and governs the system, the process, and does troubleshooting if other users have problems with their roles and access. This role also publishes product information and ensures that the system is performing as intended.</t>
  </si>
  <si>
    <t>Sprint</t>
  </si>
  <si>
    <t>Patients</t>
  </si>
  <si>
    <t>Release 1-MVP 
Total Stories =10</t>
  </si>
  <si>
    <t>Will use the product to report, track, and monitor cases of the outbreak</t>
  </si>
  <si>
    <t>Test Centers</t>
  </si>
  <si>
    <t>Will use the product to report test kit usage</t>
  </si>
  <si>
    <t>Release 2
Total Stories =10</t>
  </si>
  <si>
    <t>Doctors</t>
  </si>
  <si>
    <t>Will use the product to share successful treatment remedies</t>
  </si>
  <si>
    <t>Release 3 
Total Stories =5</t>
  </si>
  <si>
    <t>Medical Examiners</t>
  </si>
  <si>
    <t xml:space="preserve">Backlog for Future Release
</t>
  </si>
  <si>
    <t>Will use the product to report deaths caused by outbreak</t>
  </si>
  <si>
    <t>compare test kits produced with tests administered by region</t>
  </si>
  <si>
    <t>Upgrade Database</t>
  </si>
  <si>
    <t>Healthcare Companies</t>
  </si>
  <si>
    <t>I can identify supply gaps</t>
  </si>
  <si>
    <t>Will use the product to report test kit production and deliveries</t>
  </si>
  <si>
    <t>As a CDC Official, I can compare test kits produced with tests administered by region so that I can identify supply gaps.</t>
  </si>
  <si>
    <t>Automated Integration for Importing</t>
  </si>
  <si>
    <t>Production and administration totals identify their source and reporting period; The difference between kits produced and tests administered is shown for each region; Missing or stale reports are clearly identified.</t>
  </si>
  <si>
    <t>Mobile App User Interface Refinement</t>
  </si>
  <si>
    <t>Develop iOS Compatible Mobile App</t>
  </si>
  <si>
    <t>rank regions by cases, deaths, testing activity, and available supply</t>
  </si>
  <si>
    <t>I can prioritize funding and test-kit allocation</t>
  </si>
  <si>
    <t>Develop Web Portal application</t>
  </si>
  <si>
    <t>As a CDC Official, I can rank regions by cases, deaths, testing activity, and available supply so that I can prioritize funding and test-kit allocation.</t>
  </si>
  <si>
    <t>Security Update</t>
  </si>
  <si>
    <t>Each region shows the measures used to determine need; Regions with incomplete data or tied priority are identified; An allocation decision records the region, amount, date, and author.</t>
  </si>
  <si>
    <t>publish a region-specific public update</t>
  </si>
  <si>
    <t>residents receive current outbreak guidance</t>
  </si>
  <si>
    <t>Customizable/Interactive Dashboard with heatmaps, bar charts, and zooming capabilities</t>
  </si>
  <si>
    <t>As a CDC Official, I can publish a region-specific public update so that residents receive current outbreak guidance.</t>
  </si>
  <si>
    <t>Each update specifies its region and effective period; The complete update can be reviewed before publication; Published and superseded updates remain identifiable.</t>
  </si>
  <si>
    <t>Develop Android Compatible Mobile App</t>
  </si>
  <si>
    <t>System Administrator</t>
  </si>
  <si>
    <t>provision a role-based account</t>
  </si>
  <si>
    <t>Manual Importing</t>
  </si>
  <si>
    <t>authorized organizations can submit and view the information required for their role</t>
  </si>
  <si>
    <t>As a System Administrator, I can provision a role-based account so that authorized organizations can submit and view the information required for their role.</t>
  </si>
  <si>
    <t>Basic Data Searching Capability</t>
  </si>
  <si>
    <t>An account requires an identified organization and one approved role; The account receives only the permissions associated with its role; The administrator can confirm whether provisioning succeeded.</t>
  </si>
  <si>
    <t>revoke a user's access</t>
  </si>
  <si>
    <t>former or unauthorized users can no longer reach protected outbreak data</t>
  </si>
  <si>
    <t>Web Portal Redesign</t>
  </si>
  <si>
    <t>As a System Administrator, I can revoke a user's access so that former or unauthorized users can no longer reach protected outbreak data.</t>
  </si>
  <si>
    <t>Revoked credentials no longer permit protected access; The revocation records the affected user, administrator, time, and reason; The affected organization receives confirmation of the access change.</t>
  </si>
  <si>
    <t>Authentication- Login/Logout</t>
  </si>
  <si>
    <t>monitor data-feed status and validation failures</t>
  </si>
  <si>
    <t>I can resolve disruptions before decisions rely on incomplete data</t>
  </si>
  <si>
    <t>Send Manual Amber Alerts by Region</t>
  </si>
  <si>
    <t>As a System Administrator, I can monitor data-feed status and validation failures so that I can resolve disruptions before decisions rely on incomplete data.</t>
  </si>
  <si>
    <r>
      <rPr>
        <rFont val="Arial"/>
        <b/>
        <color theme="1"/>
      </rPr>
      <t xml:space="preserve">Instructions: Create a Release &amp; MVP Plan in this sheet.
</t>
    </r>
    <r>
      <rPr>
        <rFont val="Arial"/>
        <b val="0"/>
        <color theme="1"/>
      </rPr>
      <t xml:space="preserve">Copy your 10 Release 1-MVP user stories into column A, Rows 3-12 in the Release &amp; MVP plan template
Copy your 10 Release 2 user stories into column A, Rows 13-22 in the Release &amp; MVP plan template 
Copy your 5 Release 3 user stories into column A, Rows 23-27 in the Release &amp; MVP plan template </t>
    </r>
  </si>
  <si>
    <t>Each feed shows its last successful update and current status; Rejected records identify the source and validation reason; A resolved disruption is distinguishable from an active disruption.</t>
  </si>
  <si>
    <t>Automated Amber Alerts</t>
  </si>
  <si>
    <t>review the audit trail for protected records</t>
  </si>
  <si>
    <t>In-App messaging for Doctors and Patients</t>
  </si>
  <si>
    <t>I can investigate inappropriate or erroneous changes</t>
  </si>
  <si>
    <t>As a System Administrator, I can review the audit trail for protected records so that I can investigate inappropriate or erroneous changes.</t>
  </si>
  <si>
    <t>Releases</t>
  </si>
  <si>
    <t>Each entry identifies who changed what and when; Previous and revised values are available for authorized review; Entries can be filtered by user, organization, record, and date.</t>
  </si>
  <si>
    <t>Release 1-MVP</t>
  </si>
  <si>
    <t>Basic Dashboard with heatmap display</t>
  </si>
  <si>
    <t>Patient</t>
  </si>
  <si>
    <t>report a positive virus test and my U.S. location</t>
  </si>
  <si>
    <t>Sprints</t>
  </si>
  <si>
    <t xml:space="preserve">Export CSV of Reported Data </t>
  </si>
  <si>
    <t>the CDC can track the spread of the outbreak</t>
  </si>
  <si>
    <t>Sprint 2</t>
  </si>
  <si>
    <t>As a Patient, I can report a positive virus test and my U.S. location so that the CDC can track the spread of the outbreak.</t>
  </si>
  <si>
    <t>User Based Preferences- Save Search &amp; Reports</t>
  </si>
  <si>
    <t xml:space="preserve">Story Points </t>
  </si>
  <si>
    <t>The report requires the test date, result, state or territory, and county or equivalent locality; Reports are accepted for every U.S. state and territory; The patient receives confirmation without exposing personal identity in public aggregates.</t>
  </si>
  <si>
    <t>Release 1- MVP</t>
  </si>
  <si>
    <t>correct a report that I previously submitted</t>
  </si>
  <si>
    <t>outbreak data remains accurate</t>
  </si>
  <si>
    <t>As a Patient, I can correct a report that I previously submitted so that outbreak data remains accurate.</t>
  </si>
  <si>
    <t>The original submission remains traceable to authorized reviewers; A correction requires a reason and timestamp; Relevant aggregate totals reflect the accepted correction.</t>
  </si>
  <si>
    <t>Web Report of Data (View only no Export)</t>
  </si>
  <si>
    <t>Sprint 1</t>
  </si>
  <si>
    <t>view the heatmap and current guidance for my area</t>
  </si>
  <si>
    <t>I can understand local outbreak conditions</t>
  </si>
  <si>
    <t>As a Patient, I can view the heatmap and current guidance for my area so that I can understand local outbreak conditions.</t>
  </si>
  <si>
    <t>The heatmap presents only anonymous aggregate data; A patient can select a U.S. state or locality; The view displays the reporting period and current applicable guidance.</t>
  </si>
  <si>
    <t>report public locations visited during the infectious period</t>
  </si>
  <si>
    <t>potentially exposed people can be warned without revealing my identity</t>
  </si>
  <si>
    <t>As a Patient, I can report public locations visited during the infectious period so that potentially exposed people can be warned without revealing my identity.</t>
  </si>
  <si>
    <t>This option is available only for a reported positive case; Each location entry includes the place, locality, and visit date; Public notices do not disclose the reporting patient's identity.</t>
  </si>
  <si>
    <t>Test Center</t>
  </si>
  <si>
    <t>report tests administered and result counts by day and location</t>
  </si>
  <si>
    <t>the CDC can measure testing activity</t>
  </si>
  <si>
    <t>As a Test Center, I can report tests administered and result counts by day and location so that the CDC can measure testing activity.</t>
  </si>
  <si>
    <t>Counts must be whole, nonnegative numbers for a specified center and date; Positive, negative, and inconclusive counts cannot exceed total tests administered; The center receives a submission confirmation.</t>
  </si>
  <si>
    <t>As a Healthcare Company, I can report test kits produced by product and date so that the CDC can determine available national supply.</t>
  </si>
  <si>
    <t>view and update test-kit inventory on hand</t>
  </si>
  <si>
    <t>I can maintain an accurate supply count</t>
  </si>
  <si>
    <t>As a Test Center, I can view and update test-kit inventory on hand so that I can maintain an accurate supply count.</t>
  </si>
  <si>
    <t>Inventory is shown by center and kit type; Each adjustment records the quantity, date, and reason; An adjustment cannot result in negative inventory.</t>
  </si>
  <si>
    <t>As a Medical Examiner, I can report an outbreak-related death by date and jurisdiction so that the CDC can measure mortality.</t>
  </si>
  <si>
    <t>receive a low-stock warning when inventory crosses a defined threshold</t>
  </si>
  <si>
    <t>I can request additional supplies before testing is interrupted</t>
  </si>
  <si>
    <t>As a Test Center, I can receive a low-stock warning when inventory crosses a defined threshold so that I can request additional supplies before testing is interrupted.</t>
  </si>
  <si>
    <t>A threshold can be defined for each kit type; A warning identifies the center, kit type, threshold, and current quantity; The warning is cleared when inventory is restored above the threshold.</t>
  </si>
  <si>
    <t>report a test-kit delivery received</t>
  </si>
  <si>
    <t>Sprint 3</t>
  </si>
  <si>
    <t>delivered inventory can be reconciled with shipments</t>
  </si>
  <si>
    <t>As a Test Center, I can report a test-kit delivery received so that delivered inventory can be reconciled with shipments.</t>
  </si>
  <si>
    <t>A receipt includes the supplier, kit type, quantity, lot identifier, and received date; An accepted receipt increases inventory by the reported quantity; A possible duplicate receipt is identified before acceptance.</t>
  </si>
  <si>
    <t>As a Doctor, I can submit a successful treatment or remedy and its patient outcome so that the CDC can assess promising clinical practices.</t>
  </si>
  <si>
    <t>Doctor</t>
  </si>
  <si>
    <t>submit a successful treatment or remedy and its patient outcome</t>
  </si>
  <si>
    <t>the CDC can assess promising clinical practices</t>
  </si>
  <si>
    <t>The submission excludes directly identifying patient information; The intervention, relevant condition, outcome, and observation date are required; Unverified or anecdotal evidence is clearly labeled.</t>
  </si>
  <si>
    <t>view the review status of a treatment submission</t>
  </si>
  <si>
    <t>I know whether additional clinical information is required</t>
  </si>
  <si>
    <t>As a Doctor, I can view the review status of a treatment submission so that I know whether additional clinical information is required.</t>
  </si>
  <si>
    <t>Each submission has a receipt identifier and current review status; A request for more information states what is missing; Status history includes the date of each change.</t>
  </si>
  <si>
    <t>Release 2</t>
  </si>
  <si>
    <t>update a submitted treatment outcome with follow-up information</t>
  </si>
  <si>
    <t>the clinical record reflects the latest observed result</t>
  </si>
  <si>
    <t>Sprint 4</t>
  </si>
  <si>
    <t>As a Doctor, I can update a submitted treatment outcome with follow-up information so that the clinical record reflects the latest observed result.</t>
  </si>
  <si>
    <t>The prior outcome remains available to authorized reviewers; An update requires an observation date and reason; The latest accepted outcome is clearly distinguished from earlier observations.</t>
  </si>
  <si>
    <t>search deidentified summaries of submitted remedies</t>
  </si>
  <si>
    <t>I can identify patterns that may inform patient care</t>
  </si>
  <si>
    <t>As a Doctor, I can search deidentified summaries of submitted remedies so that I can identify patterns that may inform patient care.</t>
  </si>
  <si>
    <t>Results can be filtered by condition, intervention, and reported outcome; Results contain no directly identifying patient information; Each summary distinguishes reported observations from validated guidance.</t>
  </si>
  <si>
    <t>Medical Examiner</t>
  </si>
  <si>
    <t>report an outbreak-related death by date and jurisdiction</t>
  </si>
  <si>
    <t>the CDC can measure mortality</t>
  </si>
  <si>
    <t>As a Healthcare Company, I can report test-kit shipments to test centers so that the CDC can distinguish produced supply from supply in transit or delivered.</t>
  </si>
  <si>
    <t>The report requires the date, jurisdiction, and outbreak attribution status; A unique case or death reference prevents duplicate counting; The examiner receives confirmation that the report was accepted or rejected.</t>
  </si>
  <si>
    <t>As a Medical Examiner, I can record deidentified demographic and comorbidity information so that mortality patterns can be analyzed across populations.</t>
  </si>
  <si>
    <t>record deidentified demographic and comorbidity information</t>
  </si>
  <si>
    <t>Sprint 5</t>
  </si>
  <si>
    <t>mortality patterns can be analyzed across populations</t>
  </si>
  <si>
    <t>Demographic values use consistent categories and allow an unknown value; Direct identifiers are excluded from CDC aggregate views; Submitted attributes remain linked to the correct death record.</t>
  </si>
  <si>
    <t>amend a death record after official review</t>
  </si>
  <si>
    <t>mortality totals reflect corrected findings</t>
  </si>
  <si>
    <t>As a Medical Examiner, I can amend a death record after official review so that mortality totals reflect corrected findings.</t>
  </si>
  <si>
    <t>The original record remains available to authorized reviewers; An amendment requires the author, timestamp, and reason; Affected mortality totals reflect the accepted amendment.</t>
  </si>
  <si>
    <t>view my submission history and rejection reasons</t>
  </si>
  <si>
    <t>I can verify that official records were received and correct errors</t>
  </si>
  <si>
    <t>As a Medical Examiner, I can view my submission history and rejection reasons so that I can verify that official records were received and correct errors.</t>
  </si>
  <si>
    <t>Each submission displays its receipt identifier, date, and status; Rejected submissions include a specific reason; History can be filtered by date and jurisdiction.</t>
  </si>
  <si>
    <t>Healthcare Company</t>
  </si>
  <si>
    <t>report test kits produced by product and date</t>
  </si>
  <si>
    <t>the CDC can determine available national supply</t>
  </si>
  <si>
    <t>The report requires the company, kit type, production date, and nonnegative whole-number quantity; The reporting period is explicit; The company receives confirmation of the accepted quantity.</t>
  </si>
  <si>
    <t>report test-kit shipments to test centers</t>
  </si>
  <si>
    <t>the CDC can distinguish produced supply from supply in transit or delivered</t>
  </si>
  <si>
    <t>As a Healthcare Company, I can submit a production-capacity forecast so that the CDC can anticipate future supply constraints.</t>
  </si>
  <si>
    <t>Each shipment identifies the destination center, kit type, quantity, and ship date; Shipment status distinguishes in-transit and delivered quantities; Reported shipment quantity cannot exceed available reported supply without a warning.</t>
  </si>
  <si>
    <t>Release 3</t>
  </si>
  <si>
    <t>submit a production-capacity forecast</t>
  </si>
  <si>
    <t>the CDC can anticipate future supply constraints</t>
  </si>
  <si>
    <t>Sprint 6</t>
  </si>
  <si>
    <t>A forecast specifies the kit type, time period, expected capacity, and uncertainty; The latest forecast is distinguishable from prior forecasts; A company can indicate a known constraint affecting capacity.</t>
  </si>
  <si>
    <t>correct a production or shipment submission</t>
  </si>
  <si>
    <t>downstream supply totals remain accurate</t>
  </si>
  <si>
    <t>As a Healthcare Company, I can correct a production or shipment submission so that downstream supply totals remain accurate.</t>
  </si>
  <si>
    <t>The original submission remains traceable to authorized reviewers; A correction requires a reason, author, and timestamp; Supply totals reflect the accepted correction without double counting.</t>
  </si>
  <si>
    <t>Sprint 7</t>
  </si>
  <si>
    <t>Backlog for Future Release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</si>
</sst>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sz val="10.0"/>
      <color theme="1"/>
      <name val="Arial"/>
    </font>
    <font/>
    <font>
      <color theme="1"/>
      <name val="Arial"/>
      <scheme val="minor"/>
    </font>
    <font>
      <b/>
      <sz val="14.0"/>
      <color theme="1"/>
      <name val="Arial"/>
    </font>
    <font>
      <color rgb="FF000000"/>
      <name val="Arial"/>
    </font>
    <font>
      <b/>
      <color rgb="FF000000"/>
      <name val="Arial"/>
    </font>
    <font>
      <color theme="1"/>
      <name val="Arial"/>
    </font>
  </fonts>
  <fills count="10">
    <fill>
      <patternFill patternType="none"/>
    </fill>
    <fill>
      <patternFill patternType="lightGray"/>
    </fill>
    <fill>
      <patternFill patternType="solid">
        <fgColor rgb="FFB7B7B7"/>
        <bgColor rgb="FFB7B7B7"/>
      </patternFill>
    </fill>
    <fill>
      <patternFill patternType="solid">
        <fgColor rgb="FFEAD1DC"/>
        <bgColor rgb="FFEAD1DC"/>
      </patternFill>
    </fill>
    <fill>
      <patternFill patternType="solid">
        <fgColor rgb="FFCFE2F3"/>
        <bgColor rgb="FFCFE2F3"/>
      </patternFill>
    </fill>
    <fill>
      <patternFill patternType="solid">
        <fgColor rgb="FFD9D2E9"/>
        <bgColor rgb="FFD9D2E9"/>
      </patternFill>
    </fill>
    <fill>
      <patternFill patternType="solid">
        <fgColor rgb="FFFFFFFF"/>
        <bgColor rgb="FFFFFFFF"/>
      </patternFill>
    </fill>
    <fill>
      <patternFill patternType="solid">
        <fgColor rgb="FFFCE5CD"/>
        <bgColor rgb="FFFCE5CD"/>
      </patternFill>
    </fill>
    <fill>
      <patternFill patternType="solid">
        <fgColor rgb="FFFFF2CC"/>
        <bgColor rgb="FFFFF2CC"/>
      </patternFill>
    </fill>
    <fill>
      <patternFill patternType="solid">
        <fgColor rgb="FF999999"/>
        <bgColor rgb="FF999999"/>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ck">
        <color rgb="FF000000"/>
      </right>
      <bottom style="thick">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border>
    <border>
      <left style="thin">
        <color rgb="FF000000"/>
      </left>
      <right style="thin">
        <color rgb="FF000000"/>
      </right>
      <top style="thick">
        <color rgb="FF000000"/>
      </top>
    </border>
    <border>
      <left style="thick">
        <color rgb="FF000000"/>
      </left>
      <bottom style="thick">
        <color rgb="FF000000"/>
      </bottom>
    </border>
    <border>
      <bottom style="thick">
        <color rgb="FF000000"/>
      </bottom>
    </border>
    <border>
      <right style="thin">
        <color rgb="FF000000"/>
      </right>
      <bottom style="thick">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rder>
    <border>
      <left style="thick">
        <color rgb="FF000000"/>
      </left>
    </border>
    <border>
      <left style="thin">
        <color rgb="FF000000"/>
      </left>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1"/>
    </xf>
    <xf borderId="1" fillId="0" fontId="2" numFmtId="0" xfId="0" applyAlignment="1" applyBorder="1" applyFont="1">
      <alignment readingOrder="0" shrinkToFit="0" vertical="top" wrapText="1"/>
    </xf>
    <xf borderId="2" fillId="0" fontId="3" numFmtId="0" xfId="0" applyBorder="1" applyFont="1"/>
    <xf borderId="3" fillId="0" fontId="3" numFmtId="0" xfId="0" applyBorder="1" applyFont="1"/>
    <xf borderId="4" fillId="0" fontId="4" numFmtId="0" xfId="0" applyAlignment="1" applyBorder="1" applyFont="1">
      <alignment readingOrder="0" shrinkToFit="0" vertical="top" wrapText="1"/>
    </xf>
    <xf borderId="5" fillId="2" fontId="5" numFmtId="0" xfId="0" applyAlignment="1" applyBorder="1" applyFill="1" applyFont="1">
      <alignment horizontal="center" readingOrder="0" shrinkToFit="0" vertical="top" wrapText="1"/>
    </xf>
    <xf borderId="1" fillId="0" fontId="4" numFmtId="0" xfId="0" applyAlignment="1" applyBorder="1" applyFont="1">
      <alignment readingOrder="0" shrinkToFit="0" vertical="top" wrapText="1"/>
    </xf>
    <xf borderId="5" fillId="3" fontId="5" numFmtId="0" xfId="0" applyAlignment="1" applyBorder="1" applyFill="1" applyFont="1">
      <alignment horizontal="center" readingOrder="0" shrinkToFit="0" vertical="top" wrapText="1"/>
    </xf>
    <xf borderId="5" fillId="4" fontId="5" numFmtId="0" xfId="0" applyAlignment="1" applyBorder="1" applyFill="1" applyFont="1">
      <alignment horizontal="center" readingOrder="0" shrinkToFit="0" vertical="top" wrapText="1"/>
    </xf>
    <xf borderId="6" fillId="0" fontId="4" numFmtId="0" xfId="0" applyAlignment="1" applyBorder="1" applyFont="1">
      <alignment readingOrder="0" shrinkToFit="0" vertical="top" wrapText="1"/>
    </xf>
    <xf borderId="5" fillId="0" fontId="1" numFmtId="0" xfId="0" applyAlignment="1" applyBorder="1" applyFont="1">
      <alignment horizontal="center" readingOrder="0" shrinkToFit="0" vertical="center" wrapText="1"/>
    </xf>
    <xf borderId="5" fillId="5" fontId="5" numFmtId="0" xfId="0" applyAlignment="1" applyBorder="1" applyFill="1" applyFont="1">
      <alignment horizontal="center" readingOrder="0" shrinkToFit="0" vertical="top" wrapText="1"/>
    </xf>
    <xf borderId="7" fillId="6" fontId="6" numFmtId="0" xfId="0" applyAlignment="1" applyBorder="1" applyFill="1" applyFont="1">
      <alignment horizontal="left" readingOrder="0" shrinkToFit="0" vertical="top" wrapText="1"/>
    </xf>
    <xf borderId="5" fillId="6" fontId="7" numFmtId="0" xfId="0" applyAlignment="1" applyBorder="1" applyFont="1">
      <alignment horizontal="center" readingOrder="0" shrinkToFit="0" vertical="center" wrapText="1"/>
    </xf>
    <xf borderId="7" fillId="0" fontId="4" numFmtId="0" xfId="0" applyAlignment="1" applyBorder="1" applyFont="1">
      <alignment readingOrder="0" shrinkToFit="0" vertical="top" wrapText="1"/>
    </xf>
    <xf borderId="5" fillId="7" fontId="5" numFmtId="0" xfId="0" applyAlignment="1" applyBorder="1" applyFill="1" applyFont="1">
      <alignment horizontal="center" readingOrder="0" shrinkToFit="0" vertical="top" wrapText="1"/>
    </xf>
    <xf borderId="5" fillId="0" fontId="1" numFmtId="0" xfId="0" applyAlignment="1" applyBorder="1" applyFont="1">
      <alignment readingOrder="0" shrinkToFit="0" vertical="top" wrapText="1"/>
    </xf>
    <xf borderId="5" fillId="0" fontId="8" numFmtId="0" xfId="0" applyAlignment="1" applyBorder="1" applyFont="1">
      <alignment horizontal="left" readingOrder="0" shrinkToFit="0" vertical="center" wrapText="1"/>
    </xf>
    <xf borderId="5" fillId="6" fontId="6"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top" wrapText="1"/>
    </xf>
    <xf borderId="0" fillId="0" fontId="1" numFmtId="0" xfId="0" applyAlignment="1" applyFont="1">
      <alignment horizontal="center" readingOrder="0" shrinkToFit="0" vertical="top" wrapText="1"/>
    </xf>
    <xf borderId="8" fillId="0" fontId="8" numFmtId="0" xfId="0" applyAlignment="1" applyBorder="1" applyFont="1">
      <alignment readingOrder="0" shrinkToFit="0" vertical="top" wrapText="1"/>
    </xf>
    <xf borderId="9" fillId="0" fontId="1" numFmtId="0" xfId="0" applyAlignment="1" applyBorder="1" applyFont="1">
      <alignment horizontal="center" readingOrder="0" shrinkToFit="0" vertical="top" wrapText="1"/>
    </xf>
    <xf borderId="10" fillId="0" fontId="1" numFmtId="0" xfId="0" applyAlignment="1" applyBorder="1" applyFont="1">
      <alignment horizontal="center" readingOrder="0" shrinkToFit="0" vertical="top" wrapText="1"/>
    </xf>
    <xf borderId="5" fillId="3" fontId="8" numFmtId="0" xfId="0" applyAlignment="1" applyBorder="1" applyFont="1">
      <alignment horizontal="center" readingOrder="0" shrinkToFit="0" vertical="center" wrapText="1"/>
    </xf>
    <xf borderId="5" fillId="0" fontId="4" numFmtId="0" xfId="0" applyAlignment="1" applyBorder="1" applyFont="1">
      <alignment readingOrder="0" shrinkToFit="0" vertical="top" wrapText="1"/>
    </xf>
    <xf borderId="11" fillId="0" fontId="1" numFmtId="0" xfId="0" applyAlignment="1" applyBorder="1" applyFont="1">
      <alignment readingOrder="0" shrinkToFit="0" vertical="top" wrapText="1"/>
    </xf>
    <xf borderId="5" fillId="4" fontId="8" numFmtId="0" xfId="0" applyAlignment="1" applyBorder="1" applyFont="1">
      <alignment horizontal="center" readingOrder="0" shrinkToFit="0" vertical="center" wrapText="1"/>
    </xf>
    <xf borderId="5" fillId="5" fontId="8" numFmtId="0" xfId="0" applyAlignment="1" applyBorder="1" applyFont="1">
      <alignment horizontal="center" readingOrder="0" shrinkToFit="0" vertical="center" wrapText="1"/>
    </xf>
    <xf borderId="5" fillId="0" fontId="8" numFmtId="0" xfId="0" applyAlignment="1" applyBorder="1" applyFont="1">
      <alignment readingOrder="0" shrinkToFit="0" vertical="top" wrapText="1"/>
    </xf>
    <xf borderId="5" fillId="7" fontId="8"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top" wrapText="1"/>
    </xf>
    <xf borderId="12" fillId="0" fontId="4" numFmtId="0" xfId="0" applyAlignment="1" applyBorder="1" applyFont="1">
      <alignment horizontal="center" readingOrder="0" shrinkToFit="0" vertical="top" wrapText="1"/>
    </xf>
    <xf borderId="0" fillId="0" fontId="4" numFmtId="0" xfId="0" applyAlignment="1" applyFont="1">
      <alignment horizontal="center" readingOrder="0" shrinkToFit="0" vertical="top" wrapText="1"/>
    </xf>
    <xf borderId="13" fillId="8" fontId="4" numFmtId="0" xfId="0" applyAlignment="1" applyBorder="1" applyFill="1" applyFont="1">
      <alignment horizontal="center" readingOrder="0" shrinkToFit="0" vertical="center" wrapText="1"/>
    </xf>
    <xf borderId="13" fillId="0" fontId="4" numFmtId="0" xfId="0" applyAlignment="1" applyBorder="1" applyFont="1">
      <alignment horizontal="center" readingOrder="0" shrinkToFit="0" vertical="center" wrapText="1"/>
    </xf>
    <xf borderId="5" fillId="4" fontId="8" numFmtId="0" xfId="0" applyAlignment="1" applyBorder="1" applyFont="1">
      <alignment horizontal="center" shrinkToFit="0" vertical="center" wrapText="1"/>
    </xf>
    <xf borderId="14" fillId="0" fontId="4" numFmtId="0" xfId="0" applyAlignment="1" applyBorder="1" applyFont="1">
      <alignment horizontal="center" shrinkToFit="0" vertical="top" wrapText="1"/>
    </xf>
    <xf borderId="5" fillId="6" fontId="6" numFmtId="0" xfId="0" applyAlignment="1" applyBorder="1" applyFont="1">
      <alignment readingOrder="0" shrinkToFit="0" vertical="top" wrapText="1"/>
    </xf>
    <xf borderId="5" fillId="5" fontId="8" numFmtId="0" xfId="0" applyAlignment="1" applyBorder="1" applyFont="1">
      <alignment horizontal="center" shrinkToFit="0" vertical="center" wrapText="1"/>
    </xf>
    <xf borderId="5" fillId="0" fontId="4" numFmtId="0" xfId="0" applyAlignment="1" applyBorder="1" applyFont="1">
      <alignment horizontal="center" readingOrder="0" shrinkToFit="0" vertical="top" wrapText="1"/>
    </xf>
    <xf borderId="5" fillId="7" fontId="8" numFmtId="0" xfId="0" applyAlignment="1" applyBorder="1" applyFont="1">
      <alignment horizontal="center" shrinkToFit="0" vertical="center" wrapText="1"/>
    </xf>
    <xf borderId="0" fillId="0" fontId="4" numFmtId="0" xfId="0" applyAlignment="1" applyFont="1">
      <alignment horizontal="center" shrinkToFit="0" vertical="top" wrapText="1"/>
    </xf>
    <xf borderId="7" fillId="0" fontId="3" numFmtId="0" xfId="0" applyBorder="1" applyFont="1"/>
    <xf borderId="5" fillId="3" fontId="8" numFmtId="0" xfId="0" applyAlignment="1" applyBorder="1" applyFont="1">
      <alignment horizontal="center" shrinkToFit="0" vertical="center" wrapText="1"/>
    </xf>
    <xf borderId="15" fillId="0" fontId="3" numFmtId="0" xfId="0" applyBorder="1" applyFont="1"/>
    <xf borderId="5" fillId="0" fontId="4" numFmtId="0" xfId="0" applyAlignment="1" applyBorder="1" applyFont="1">
      <alignment readingOrder="0"/>
    </xf>
    <xf borderId="0" fillId="9" fontId="4" numFmtId="0" xfId="0" applyAlignment="1" applyFill="1" applyFont="1">
      <alignment horizontal="center" readingOrder="0" shrinkToFit="0" vertical="top" wrapText="1"/>
    </xf>
    <xf borderId="0" fillId="9" fontId="4" numFmtId="0" xfId="0" applyAlignment="1" applyFont="1">
      <alignment horizontal="center" shrinkToFit="0" vertical="top" wrapText="1"/>
    </xf>
    <xf borderId="0" fillId="9" fontId="4" numFmtId="0" xfId="0" applyAlignment="1" applyFont="1">
      <alignment readingOrder="0" shrinkToFit="0" vertical="top" wrapText="1"/>
    </xf>
    <xf borderId="0" fillId="9" fontId="4" numFmtId="0" xfId="0" applyAlignment="1" applyFont="1">
      <alignment shrinkToFit="0" vertical="top" wrapText="1"/>
    </xf>
    <xf borderId="13" fillId="3" fontId="4" numFmtId="0" xfId="0" applyAlignment="1" applyBorder="1" applyFont="1">
      <alignment horizontal="center" readingOrder="0" shrinkToFit="0" vertical="center" wrapText="1"/>
    </xf>
    <xf borderId="13" fillId="5" fontId="4" numFmtId="0" xfId="0" applyAlignment="1" applyBorder="1" applyFont="1">
      <alignment horizontal="center" readingOrder="0" shrinkToFit="0" vertical="center" wrapText="1"/>
    </xf>
    <xf borderId="5" fillId="0" fontId="8" numFmtId="0" xfId="0" applyAlignment="1" applyBorder="1" applyFont="1">
      <alignment shrinkToFit="0" vertical="top" wrapText="1"/>
    </xf>
    <xf borderId="5" fillId="0" fontId="8"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2.5"/>
    <col customWidth="1" min="2" max="5" width="31.63"/>
  </cols>
  <sheetData>
    <row r="1">
      <c r="A1" s="2" t="s">
        <v>1</v>
      </c>
      <c r="B1" s="3"/>
      <c r="C1" s="3"/>
      <c r="D1" s="3"/>
      <c r="E1" s="4"/>
    </row>
    <row r="2">
      <c r="A2" s="6" t="s">
        <v>4</v>
      </c>
      <c r="B2" s="8" t="s">
        <v>9</v>
      </c>
      <c r="C2" s="9" t="s">
        <v>11</v>
      </c>
      <c r="D2" s="12" t="s">
        <v>14</v>
      </c>
      <c r="E2" s="16" t="s">
        <v>17</v>
      </c>
    </row>
    <row r="3">
      <c r="A3" s="18" t="s">
        <v>24</v>
      </c>
      <c r="B3" s="25" t="s">
        <v>24</v>
      </c>
      <c r="C3" s="28" t="s">
        <v>44</v>
      </c>
      <c r="D3" s="29" t="s">
        <v>49</v>
      </c>
      <c r="E3" s="31" t="s">
        <v>51</v>
      </c>
    </row>
    <row r="4">
      <c r="A4" s="18" t="s">
        <v>52</v>
      </c>
      <c r="B4" s="25" t="s">
        <v>55</v>
      </c>
      <c r="C4" s="28" t="s">
        <v>57</v>
      </c>
      <c r="D4" s="29" t="s">
        <v>52</v>
      </c>
      <c r="E4" s="31" t="s">
        <v>61</v>
      </c>
    </row>
    <row r="5">
      <c r="A5" s="18" t="s">
        <v>64</v>
      </c>
      <c r="B5" s="25" t="s">
        <v>67</v>
      </c>
      <c r="C5" s="28" t="s">
        <v>70</v>
      </c>
      <c r="D5" s="29" t="s">
        <v>64</v>
      </c>
      <c r="E5" s="31" t="s">
        <v>74</v>
      </c>
    </row>
    <row r="6">
      <c r="A6" s="18" t="s">
        <v>55</v>
      </c>
      <c r="B6" s="25" t="s">
        <v>77</v>
      </c>
      <c r="C6" s="28" t="s">
        <v>80</v>
      </c>
      <c r="D6" s="29" t="s">
        <v>84</v>
      </c>
      <c r="E6" s="31" t="s">
        <v>86</v>
      </c>
    </row>
    <row r="7">
      <c r="A7" s="18" t="s">
        <v>44</v>
      </c>
      <c r="B7" s="25" t="s">
        <v>92</v>
      </c>
      <c r="C7" s="28" t="s">
        <v>96</v>
      </c>
      <c r="D7" s="29" t="s">
        <v>100</v>
      </c>
      <c r="E7" s="31"/>
    </row>
    <row r="8">
      <c r="A8" s="18" t="s">
        <v>57</v>
      </c>
      <c r="B8" s="25" t="s">
        <v>108</v>
      </c>
      <c r="C8" s="37"/>
      <c r="D8" s="40"/>
      <c r="E8" s="42"/>
    </row>
    <row r="9">
      <c r="A9" s="18" t="s">
        <v>67</v>
      </c>
      <c r="B9" s="45"/>
      <c r="C9" s="37"/>
      <c r="D9" s="40"/>
      <c r="E9" s="42"/>
    </row>
    <row r="10">
      <c r="A10" s="18" t="s">
        <v>49</v>
      </c>
      <c r="B10" s="45"/>
      <c r="C10" s="37"/>
      <c r="D10" s="40"/>
      <c r="E10" s="42"/>
    </row>
    <row r="11">
      <c r="A11" s="18" t="s">
        <v>51</v>
      </c>
      <c r="B11" s="45"/>
      <c r="C11" s="37"/>
      <c r="D11" s="40"/>
      <c r="E11" s="42"/>
    </row>
    <row r="12">
      <c r="A12" s="18" t="s">
        <v>77</v>
      </c>
      <c r="B12" s="45"/>
      <c r="C12" s="37"/>
      <c r="D12" s="40"/>
      <c r="E12" s="42"/>
    </row>
    <row r="13">
      <c r="A13" s="18" t="s">
        <v>92</v>
      </c>
      <c r="B13" s="45"/>
      <c r="C13" s="37"/>
      <c r="D13" s="40"/>
      <c r="E13" s="42"/>
    </row>
    <row r="14">
      <c r="A14" s="18" t="s">
        <v>70</v>
      </c>
      <c r="B14" s="45"/>
      <c r="C14" s="37"/>
      <c r="D14" s="40"/>
      <c r="E14" s="42"/>
    </row>
    <row r="15">
      <c r="A15" s="18" t="s">
        <v>84</v>
      </c>
      <c r="B15" s="45"/>
      <c r="C15" s="37"/>
      <c r="D15" s="40"/>
      <c r="E15" s="42"/>
    </row>
    <row r="16">
      <c r="A16" s="18" t="s">
        <v>61</v>
      </c>
      <c r="B16" s="45"/>
      <c r="C16" s="37"/>
      <c r="D16" s="40"/>
      <c r="E16" s="42"/>
    </row>
    <row r="17">
      <c r="A17" s="18" t="s">
        <v>100</v>
      </c>
      <c r="B17" s="45"/>
      <c r="C17" s="37"/>
      <c r="D17" s="40"/>
      <c r="E17" s="42"/>
    </row>
    <row r="18">
      <c r="A18" s="18" t="s">
        <v>74</v>
      </c>
      <c r="B18" s="45"/>
      <c r="C18" s="37"/>
      <c r="D18" s="40"/>
      <c r="E18" s="42"/>
    </row>
    <row r="19">
      <c r="A19" s="18" t="s">
        <v>96</v>
      </c>
      <c r="B19" s="45"/>
      <c r="C19" s="37"/>
      <c r="D19" s="40"/>
      <c r="E19" s="42"/>
    </row>
    <row r="20">
      <c r="A20" s="19" t="s">
        <v>80</v>
      </c>
      <c r="B20" s="45"/>
      <c r="C20" s="37"/>
      <c r="D20" s="40"/>
      <c r="E20" s="42"/>
    </row>
    <row r="21">
      <c r="A21" s="18" t="s">
        <v>108</v>
      </c>
      <c r="B21" s="45"/>
      <c r="C21" s="37"/>
      <c r="D21" s="40"/>
      <c r="E21" s="42"/>
    </row>
    <row r="22">
      <c r="A22" s="19" t="s">
        <v>86</v>
      </c>
      <c r="B22" s="45"/>
      <c r="C22" s="37"/>
      <c r="D22" s="40"/>
      <c r="E22" s="42"/>
    </row>
  </sheetData>
  <mergeCells count="1">
    <mergeCell ref="A1:E1"/>
  </mergeCells>
  <dataValidations>
    <dataValidation type="list" allowBlank="1" sqref="B3:E22">
      <formula1>'Product Roadmap'!$A$3:$A$22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19.75"/>
    <col customWidth="1" min="2" max="2" width="93.5"/>
  </cols>
  <sheetData>
    <row r="1">
      <c r="A1" s="7" t="s">
        <v>2</v>
      </c>
      <c r="B1" s="4"/>
    </row>
    <row r="2">
      <c r="A2" s="11" t="s">
        <v>12</v>
      </c>
      <c r="B2" s="14" t="s">
        <v>16</v>
      </c>
    </row>
    <row r="3">
      <c r="A3" s="11" t="s">
        <v>20</v>
      </c>
      <c r="B3" s="19" t="s">
        <v>23</v>
      </c>
    </row>
    <row r="4">
      <c r="A4" s="11" t="s">
        <v>27</v>
      </c>
      <c r="B4" s="19" t="s">
        <v>29</v>
      </c>
    </row>
    <row r="5">
      <c r="A5" s="11" t="s">
        <v>31</v>
      </c>
      <c r="B5" s="19" t="s">
        <v>33</v>
      </c>
    </row>
    <row r="6">
      <c r="A6" s="11" t="s">
        <v>34</v>
      </c>
      <c r="B6" s="19" t="s">
        <v>35</v>
      </c>
    </row>
    <row r="7">
      <c r="A7" s="11" t="s">
        <v>37</v>
      </c>
      <c r="B7" s="19" t="s">
        <v>38</v>
      </c>
    </row>
    <row r="8">
      <c r="A8" s="11" t="s">
        <v>40</v>
      </c>
      <c r="B8" s="19" t="s">
        <v>42</v>
      </c>
    </row>
    <row r="9">
      <c r="A9" s="11" t="s">
        <v>45</v>
      </c>
      <c r="B9" s="19" t="s">
        <v>47</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38"/>
    <col customWidth="1" min="2" max="2" width="28.0"/>
    <col customWidth="1" min="3" max="3" width="22.63"/>
    <col customWidth="1" min="4" max="4" width="39.88"/>
    <col customWidth="1" min="5" max="5" width="46.75"/>
  </cols>
  <sheetData>
    <row r="1">
      <c r="A1" s="1" t="s">
        <v>0</v>
      </c>
      <c r="B1" s="3"/>
      <c r="C1" s="3"/>
      <c r="D1" s="3"/>
      <c r="E1" s="4"/>
    </row>
    <row r="2">
      <c r="A2" s="5" t="s">
        <v>3</v>
      </c>
      <c r="B2" s="5" t="s">
        <v>5</v>
      </c>
      <c r="C2" s="5" t="s">
        <v>6</v>
      </c>
      <c r="D2" s="5" t="s">
        <v>7</v>
      </c>
      <c r="E2" s="5" t="s">
        <v>8</v>
      </c>
    </row>
    <row r="3">
      <c r="A3" s="10" t="s">
        <v>13</v>
      </c>
      <c r="B3" s="13" t="s">
        <v>15</v>
      </c>
      <c r="C3" s="15" t="s">
        <v>18</v>
      </c>
      <c r="D3" s="15" t="s">
        <v>19</v>
      </c>
      <c r="E3" s="22" t="s">
        <v>21</v>
      </c>
    </row>
    <row r="4">
      <c r="A4" s="26" t="s">
        <v>13</v>
      </c>
      <c r="B4" s="26" t="s">
        <v>43</v>
      </c>
      <c r="C4" s="26" t="s">
        <v>46</v>
      </c>
      <c r="D4" s="26" t="s">
        <v>48</v>
      </c>
      <c r="E4" s="30" t="s">
        <v>50</v>
      </c>
    </row>
    <row r="5">
      <c r="A5" s="30" t="s">
        <v>13</v>
      </c>
      <c r="B5" s="26" t="s">
        <v>53</v>
      </c>
      <c r="C5" s="26" t="s">
        <v>54</v>
      </c>
      <c r="D5" s="26" t="s">
        <v>56</v>
      </c>
      <c r="E5" s="30" t="s">
        <v>58</v>
      </c>
    </row>
    <row r="6">
      <c r="A6" s="30" t="s">
        <v>13</v>
      </c>
      <c r="B6" s="26" t="s">
        <v>59</v>
      </c>
      <c r="C6" s="26" t="s">
        <v>60</v>
      </c>
      <c r="D6" s="26" t="s">
        <v>62</v>
      </c>
      <c r="E6" s="30" t="s">
        <v>63</v>
      </c>
    </row>
    <row r="7">
      <c r="A7" s="30" t="s">
        <v>65</v>
      </c>
      <c r="B7" s="26" t="s">
        <v>66</v>
      </c>
      <c r="C7" s="26" t="s">
        <v>68</v>
      </c>
      <c r="D7" s="26" t="s">
        <v>69</v>
      </c>
      <c r="E7" s="30" t="s">
        <v>71</v>
      </c>
    </row>
    <row r="8">
      <c r="A8" s="30" t="s">
        <v>65</v>
      </c>
      <c r="B8" s="26" t="s">
        <v>72</v>
      </c>
      <c r="C8" s="26" t="s">
        <v>73</v>
      </c>
      <c r="D8" s="26" t="s">
        <v>75</v>
      </c>
      <c r="E8" s="30" t="s">
        <v>76</v>
      </c>
    </row>
    <row r="9">
      <c r="A9" s="30" t="s">
        <v>65</v>
      </c>
      <c r="B9" s="26" t="s">
        <v>78</v>
      </c>
      <c r="C9" s="26" t="s">
        <v>79</v>
      </c>
      <c r="D9" s="26" t="s">
        <v>81</v>
      </c>
      <c r="E9" s="30" t="s">
        <v>83</v>
      </c>
    </row>
    <row r="10">
      <c r="A10" s="30" t="s">
        <v>65</v>
      </c>
      <c r="B10" s="26" t="s">
        <v>85</v>
      </c>
      <c r="C10" s="26" t="s">
        <v>87</v>
      </c>
      <c r="D10" s="26" t="s">
        <v>88</v>
      </c>
      <c r="E10" s="30" t="s">
        <v>90</v>
      </c>
    </row>
    <row r="11">
      <c r="A11" s="30" t="s">
        <v>93</v>
      </c>
      <c r="B11" s="26" t="s">
        <v>94</v>
      </c>
      <c r="C11" s="26" t="s">
        <v>97</v>
      </c>
      <c r="D11" s="26" t="s">
        <v>99</v>
      </c>
      <c r="E11" s="30" t="s">
        <v>102</v>
      </c>
    </row>
    <row r="12">
      <c r="A12" s="30" t="s">
        <v>93</v>
      </c>
      <c r="B12" s="26" t="s">
        <v>104</v>
      </c>
      <c r="C12" s="26" t="s">
        <v>105</v>
      </c>
      <c r="D12" s="26" t="s">
        <v>106</v>
      </c>
      <c r="E12" s="30" t="s">
        <v>107</v>
      </c>
    </row>
    <row r="13">
      <c r="A13" s="30" t="s">
        <v>93</v>
      </c>
      <c r="B13" s="26" t="s">
        <v>110</v>
      </c>
      <c r="C13" s="26" t="s">
        <v>111</v>
      </c>
      <c r="D13" s="26" t="s">
        <v>112</v>
      </c>
      <c r="E13" s="39" t="s">
        <v>113</v>
      </c>
    </row>
    <row r="14">
      <c r="A14" s="30" t="s">
        <v>93</v>
      </c>
      <c r="B14" s="26" t="s">
        <v>114</v>
      </c>
      <c r="C14" s="26" t="s">
        <v>115</v>
      </c>
      <c r="D14" s="26" t="s">
        <v>116</v>
      </c>
      <c r="E14" s="30" t="s">
        <v>117</v>
      </c>
    </row>
    <row r="15">
      <c r="A15" s="30" t="s">
        <v>118</v>
      </c>
      <c r="B15" s="26" t="s">
        <v>119</v>
      </c>
      <c r="C15" s="26" t="s">
        <v>120</v>
      </c>
      <c r="D15" s="26" t="s">
        <v>121</v>
      </c>
      <c r="E15" s="30" t="s">
        <v>122</v>
      </c>
    </row>
    <row r="16">
      <c r="A16" s="30" t="s">
        <v>118</v>
      </c>
      <c r="B16" s="26" t="s">
        <v>124</v>
      </c>
      <c r="C16" s="26" t="s">
        <v>125</v>
      </c>
      <c r="D16" s="26" t="s">
        <v>126</v>
      </c>
      <c r="E16" s="30" t="s">
        <v>127</v>
      </c>
    </row>
    <row r="17">
      <c r="A17" s="30" t="s">
        <v>118</v>
      </c>
      <c r="B17" s="47" t="s">
        <v>129</v>
      </c>
      <c r="C17" s="47" t="s">
        <v>130</v>
      </c>
      <c r="D17" s="26" t="s">
        <v>131</v>
      </c>
      <c r="E17" s="47" t="s">
        <v>132</v>
      </c>
    </row>
    <row r="18">
      <c r="A18" s="30" t="s">
        <v>118</v>
      </c>
      <c r="B18" s="47" t="s">
        <v>133</v>
      </c>
      <c r="C18" s="47" t="s">
        <v>135</v>
      </c>
      <c r="D18" s="26" t="s">
        <v>136</v>
      </c>
      <c r="E18" s="47" t="s">
        <v>137</v>
      </c>
    </row>
    <row r="19">
      <c r="A19" s="30" t="s">
        <v>139</v>
      </c>
      <c r="B19" s="26" t="s">
        <v>140</v>
      </c>
      <c r="C19" s="26" t="s">
        <v>141</v>
      </c>
      <c r="D19" s="26" t="s">
        <v>138</v>
      </c>
      <c r="E19" s="30" t="s">
        <v>142</v>
      </c>
    </row>
    <row r="20">
      <c r="A20" s="30" t="s">
        <v>139</v>
      </c>
      <c r="B20" s="26" t="s">
        <v>143</v>
      </c>
      <c r="C20" s="26" t="s">
        <v>144</v>
      </c>
      <c r="D20" s="26" t="s">
        <v>145</v>
      </c>
      <c r="E20" s="30" t="s">
        <v>146</v>
      </c>
    </row>
    <row r="21">
      <c r="A21" s="30" t="s">
        <v>139</v>
      </c>
      <c r="B21" s="26" t="s">
        <v>148</v>
      </c>
      <c r="C21" s="26" t="s">
        <v>149</v>
      </c>
      <c r="D21" s="26" t="s">
        <v>151</v>
      </c>
      <c r="E21" s="30" t="s">
        <v>152</v>
      </c>
    </row>
    <row r="22">
      <c r="A22" s="30" t="s">
        <v>139</v>
      </c>
      <c r="B22" s="26" t="s">
        <v>153</v>
      </c>
      <c r="C22" s="26" t="s">
        <v>154</v>
      </c>
      <c r="D22" s="26" t="s">
        <v>155</v>
      </c>
      <c r="E22" s="30" t="s">
        <v>156</v>
      </c>
    </row>
    <row r="23">
      <c r="A23" s="30" t="s">
        <v>157</v>
      </c>
      <c r="B23" s="26" t="s">
        <v>158</v>
      </c>
      <c r="C23" s="26" t="s">
        <v>159</v>
      </c>
      <c r="D23" s="26" t="s">
        <v>128</v>
      </c>
      <c r="E23" s="30" t="s">
        <v>161</v>
      </c>
    </row>
    <row r="24">
      <c r="A24" s="30" t="s">
        <v>157</v>
      </c>
      <c r="B24" s="26" t="s">
        <v>163</v>
      </c>
      <c r="C24" s="26" t="s">
        <v>165</v>
      </c>
      <c r="D24" s="26" t="s">
        <v>162</v>
      </c>
      <c r="E24" s="30" t="s">
        <v>166</v>
      </c>
    </row>
    <row r="25">
      <c r="A25" s="30" t="s">
        <v>157</v>
      </c>
      <c r="B25" s="26" t="s">
        <v>167</v>
      </c>
      <c r="C25" s="26" t="s">
        <v>168</v>
      </c>
      <c r="D25" s="26" t="s">
        <v>169</v>
      </c>
      <c r="E25" s="30" t="s">
        <v>170</v>
      </c>
    </row>
    <row r="26">
      <c r="A26" s="30" t="s">
        <v>157</v>
      </c>
      <c r="B26" s="26" t="s">
        <v>171</v>
      </c>
      <c r="C26" s="26" t="s">
        <v>172</v>
      </c>
      <c r="D26" s="26" t="s">
        <v>173</v>
      </c>
      <c r="E26" s="30" t="s">
        <v>174</v>
      </c>
    </row>
    <row r="27">
      <c r="A27" s="30" t="s">
        <v>175</v>
      </c>
      <c r="B27" s="26" t="s">
        <v>176</v>
      </c>
      <c r="C27" s="26" t="s">
        <v>177</v>
      </c>
      <c r="D27" s="26" t="s">
        <v>123</v>
      </c>
      <c r="E27" s="30" t="s">
        <v>178</v>
      </c>
    </row>
    <row r="28">
      <c r="A28" s="30" t="s">
        <v>175</v>
      </c>
      <c r="B28" s="26" t="s">
        <v>179</v>
      </c>
      <c r="C28" s="26" t="s">
        <v>180</v>
      </c>
      <c r="D28" s="26" t="s">
        <v>160</v>
      </c>
      <c r="E28" s="30" t="s">
        <v>182</v>
      </c>
    </row>
    <row r="29">
      <c r="A29" s="30" t="s">
        <v>175</v>
      </c>
      <c r="B29" s="26" t="s">
        <v>184</v>
      </c>
      <c r="C29" s="26" t="s">
        <v>185</v>
      </c>
      <c r="D29" s="26" t="s">
        <v>181</v>
      </c>
      <c r="E29" s="30" t="s">
        <v>187</v>
      </c>
    </row>
    <row r="30">
      <c r="A30" s="30" t="s">
        <v>175</v>
      </c>
      <c r="B30" s="26" t="s">
        <v>188</v>
      </c>
      <c r="C30" s="26" t="s">
        <v>189</v>
      </c>
      <c r="D30" s="26" t="s">
        <v>190</v>
      </c>
      <c r="E30" s="30" t="s">
        <v>191</v>
      </c>
    </row>
    <row r="31">
      <c r="A31" s="54"/>
      <c r="B31" s="26"/>
      <c r="C31" s="26"/>
      <c r="D31" s="26" t="str">
        <f t="shared" ref="D31:D39" si="1">"As a "&amp;A31&amp;" I can "&amp;B31&amp;" so that "&amp;C31&amp;"."</f>
        <v>As a  I can  so that .</v>
      </c>
      <c r="E31" s="55"/>
    </row>
    <row r="32">
      <c r="A32" s="54"/>
      <c r="B32" s="26"/>
      <c r="C32" s="26"/>
      <c r="D32" s="26" t="str">
        <f t="shared" si="1"/>
        <v>As a  I can  so that .</v>
      </c>
      <c r="E32" s="55"/>
    </row>
    <row r="33">
      <c r="A33" s="54"/>
      <c r="B33" s="26"/>
      <c r="C33" s="26"/>
      <c r="D33" s="26" t="str">
        <f t="shared" si="1"/>
        <v>As a  I can  so that .</v>
      </c>
      <c r="E33" s="55"/>
    </row>
    <row r="34">
      <c r="A34" s="54"/>
      <c r="B34" s="26"/>
      <c r="C34" s="26"/>
      <c r="D34" s="26" t="str">
        <f t="shared" si="1"/>
        <v>As a  I can  so that .</v>
      </c>
      <c r="E34" s="55"/>
    </row>
    <row r="35">
      <c r="A35" s="54"/>
      <c r="B35" s="26"/>
      <c r="C35" s="26"/>
      <c r="D35" s="26" t="str">
        <f t="shared" si="1"/>
        <v>As a  I can  so that .</v>
      </c>
      <c r="E35" s="55"/>
    </row>
    <row r="36">
      <c r="A36" s="54"/>
      <c r="B36" s="26"/>
      <c r="C36" s="26"/>
      <c r="D36" s="26" t="str">
        <f t="shared" si="1"/>
        <v>As a  I can  so that .</v>
      </c>
      <c r="E36" s="55"/>
    </row>
    <row r="37">
      <c r="A37" s="54"/>
      <c r="B37" s="26"/>
      <c r="C37" s="26"/>
      <c r="D37" s="26" t="str">
        <f t="shared" si="1"/>
        <v>As a  I can  so that .</v>
      </c>
      <c r="E37" s="55"/>
    </row>
    <row r="38">
      <c r="A38" s="54"/>
      <c r="B38" s="26"/>
      <c r="C38" s="26"/>
      <c r="D38" s="26" t="str">
        <f t="shared" si="1"/>
        <v>As a  I can  so that .</v>
      </c>
      <c r="E38" s="55"/>
    </row>
    <row r="39">
      <c r="A39" s="54"/>
      <c r="B39" s="26"/>
      <c r="C39" s="26"/>
      <c r="D39" s="26" t="str">
        <f t="shared" si="1"/>
        <v>As a  I can  so that .</v>
      </c>
      <c r="E39" s="55"/>
    </row>
  </sheetData>
  <mergeCells count="1">
    <mergeCell ref="A1:E1"/>
  </mergeCells>
  <dataValidations>
    <dataValidation type="list" allowBlank="1" sqref="A3:A39">
      <formula1>"CDC Official,System Administrator,Patient,Test Center,Doctor,Medical Examiner,Healthcare Company,Pharmaceutical Company"</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0"/>
    <col customWidth="1" min="2" max="2" width="47.88"/>
    <col customWidth="1" min="3" max="3" width="34.13"/>
    <col customWidth="1" min="4" max="4" width="15.0"/>
    <col customWidth="1" min="5" max="9" width="16.63"/>
  </cols>
  <sheetData>
    <row r="1">
      <c r="A1" s="1" t="s">
        <v>10</v>
      </c>
      <c r="B1" s="3"/>
      <c r="C1" s="3"/>
      <c r="D1" s="3"/>
      <c r="E1" s="3"/>
      <c r="F1" s="3"/>
      <c r="G1" s="3"/>
      <c r="H1" s="3"/>
      <c r="I1" s="4"/>
    </row>
    <row r="2">
      <c r="A2" s="17" t="s">
        <v>22</v>
      </c>
      <c r="B2" s="17" t="s">
        <v>25</v>
      </c>
      <c r="C2" s="17" t="s">
        <v>26</v>
      </c>
      <c r="D2" s="20" t="s">
        <v>28</v>
      </c>
      <c r="E2" s="21" t="s">
        <v>30</v>
      </c>
      <c r="F2" s="23" t="s">
        <v>32</v>
      </c>
      <c r="G2" s="24" t="s">
        <v>36</v>
      </c>
      <c r="H2" s="24" t="s">
        <v>39</v>
      </c>
      <c r="I2" s="27" t="s">
        <v>41</v>
      </c>
    </row>
    <row r="3">
      <c r="A3" s="26" t="str">
        <f>'User Stories'!A3</f>
        <v>CDC Official</v>
      </c>
      <c r="B3" s="26" t="str">
        <f>'User Stories'!D3</f>
        <v>As a CDC Official, I can view regional case counts on a heatmap so that I can identify outbreak hotspots and direct the response.</v>
      </c>
      <c r="C3" s="26" t="str">
        <f>'User Stories'!E3</f>
        <v>Case data is displayed only in anonymous aggregate form; The view can be filtered by state, county, and reporting period; The most recent data refresh time is visible.</v>
      </c>
      <c r="D3" s="33" t="s">
        <v>91</v>
      </c>
      <c r="E3" s="34" t="s">
        <v>98</v>
      </c>
      <c r="F3" s="38">
        <f>COUNTIF(D3:D39,"release 1-MVP")</f>
        <v>10</v>
      </c>
      <c r="G3" s="43">
        <f>COUNTIF(D3:D39,"release 2")</f>
        <v>10</v>
      </c>
      <c r="H3" s="43">
        <f>COUNTIF(D3:D39,"release 3")</f>
        <v>5</v>
      </c>
      <c r="I3" s="43">
        <f>COUNTIF(D3:D39,"backlog for future release")</f>
        <v>3</v>
      </c>
    </row>
    <row r="4">
      <c r="A4" s="26" t="str">
        <f>'User Stories'!A4</f>
        <v>CDC Official</v>
      </c>
      <c r="B4" s="26" t="str">
        <f>'User Stories'!D4</f>
        <v>As a CDC Official, I can compare test kits produced with tests administered by region so that I can identify supply gaps.</v>
      </c>
      <c r="C4" s="26" t="str">
        <f>'User Stories'!E4</f>
        <v>Production and administration totals identify their source and reporting period; The difference between kits produced and tests administered is shown for each region; Missing or stale reports are clearly identified.</v>
      </c>
      <c r="D4" s="33" t="s">
        <v>91</v>
      </c>
      <c r="E4" s="48" t="s">
        <v>98</v>
      </c>
      <c r="F4" s="49"/>
      <c r="G4" s="50"/>
      <c r="H4" s="51"/>
      <c r="I4" s="50"/>
    </row>
    <row r="5">
      <c r="A5" s="26" t="str">
        <f>'User Stories'!A5</f>
        <v>CDC Official</v>
      </c>
      <c r="B5" s="26" t="str">
        <f>'User Stories'!D5</f>
        <v>As a CDC Official, I can rank regions by cases, deaths, testing activity, and available supply so that I can prioritize funding and test-kit allocation.</v>
      </c>
      <c r="C5" s="26" t="str">
        <f>'User Stories'!E5</f>
        <v>Each region shows the measures used to determine need; Regions with incomplete data or tied priority are identified; An allocation decision records the region, amount, date, and author.</v>
      </c>
      <c r="D5" s="33" t="s">
        <v>91</v>
      </c>
      <c r="E5" s="48" t="s">
        <v>134</v>
      </c>
      <c r="F5" s="49"/>
      <c r="G5" s="50"/>
      <c r="H5" s="50"/>
      <c r="I5" s="50"/>
    </row>
    <row r="6">
      <c r="A6" s="26" t="str">
        <f>'User Stories'!A6</f>
        <v>CDC Official</v>
      </c>
      <c r="B6" s="26" t="str">
        <f>'User Stories'!D6</f>
        <v>As a CDC Official, I can publish a region-specific public update so that residents receive current outbreak guidance.</v>
      </c>
      <c r="C6" s="26" t="str">
        <f>'User Stories'!E6</f>
        <v>Each update specifies its region and effective period; The complete update can be reviewed before publication; Published and superseded updates remain identifiable.</v>
      </c>
      <c r="D6" s="33" t="s">
        <v>147</v>
      </c>
      <c r="E6" s="48" t="s">
        <v>164</v>
      </c>
      <c r="F6" s="48"/>
      <c r="G6" s="50"/>
      <c r="H6" s="50"/>
      <c r="I6" s="50"/>
    </row>
    <row r="7">
      <c r="A7" s="26" t="str">
        <f>'User Stories'!A7</f>
        <v>System Administrator</v>
      </c>
      <c r="B7" s="26" t="str">
        <f>'User Stories'!D7</f>
        <v>As a System Administrator, I can provision a role-based account so that authorized organizations can submit and view the information required for their role.</v>
      </c>
      <c r="C7" s="26" t="str">
        <f>'User Stories'!E7</f>
        <v>An account requires an identified organization and one approved role; The account receives only the permissions associated with its role; The administrator can confirm whether provisioning succeeded.</v>
      </c>
      <c r="D7" s="33" t="s">
        <v>91</v>
      </c>
      <c r="E7" s="48" t="s">
        <v>109</v>
      </c>
      <c r="F7" s="48"/>
      <c r="G7" s="50"/>
      <c r="H7" s="50"/>
      <c r="I7" s="50"/>
    </row>
    <row r="8">
      <c r="A8" s="26" t="str">
        <f>'User Stories'!A8</f>
        <v>System Administrator</v>
      </c>
      <c r="B8" s="26" t="str">
        <f>'User Stories'!D8</f>
        <v>As a System Administrator, I can revoke a user's access so that former or unauthorized users can no longer reach protected outbreak data.</v>
      </c>
      <c r="C8" s="26" t="str">
        <f>'User Stories'!E8</f>
        <v>Revoked credentials no longer permit protected access; The revocation records the affected user, administrator, time, and reason; The affected organization receives confirmation of the access change.</v>
      </c>
      <c r="D8" s="33" t="s">
        <v>147</v>
      </c>
      <c r="E8" s="48" t="s">
        <v>150</v>
      </c>
      <c r="F8" s="48"/>
      <c r="G8" s="50"/>
      <c r="H8" s="50"/>
      <c r="I8" s="50"/>
    </row>
    <row r="9">
      <c r="A9" s="26" t="str">
        <f>'User Stories'!A9</f>
        <v>System Administrator</v>
      </c>
      <c r="B9" s="26" t="str">
        <f>'User Stories'!D9</f>
        <v>As a System Administrator, I can monitor data-feed status and validation failures so that I can resolve disruptions before decisions rely on incomplete data.</v>
      </c>
      <c r="C9" s="26" t="str">
        <f>'User Stories'!E9</f>
        <v>Each feed shows its last successful update and current status; Rejected records identify the source and validation reason; A resolved disruption is distinguishable from an active disruption.</v>
      </c>
      <c r="D9" s="33" t="s">
        <v>183</v>
      </c>
      <c r="E9" s="48" t="s">
        <v>192</v>
      </c>
      <c r="F9" s="48"/>
      <c r="G9" s="50"/>
      <c r="H9" s="50"/>
      <c r="I9" s="50"/>
    </row>
    <row r="10">
      <c r="A10" s="26" t="str">
        <f>'User Stories'!A10</f>
        <v>System Administrator</v>
      </c>
      <c r="B10" s="26" t="str">
        <f>'User Stories'!D10</f>
        <v>As a System Administrator, I can review the audit trail for protected records so that I can investigate inappropriate or erroneous changes.</v>
      </c>
      <c r="C10" s="26" t="str">
        <f>'User Stories'!E10</f>
        <v>Each entry identifies who changed what and when; Previous and revised values are available for authorized review; Entries can be filtered by user, organization, record, and date.</v>
      </c>
      <c r="D10" s="33" t="s">
        <v>193</v>
      </c>
      <c r="E10" s="48"/>
      <c r="F10" s="48"/>
      <c r="G10" s="50"/>
      <c r="H10" s="50"/>
      <c r="I10" s="50"/>
    </row>
    <row r="11">
      <c r="A11" s="26" t="str">
        <f>'User Stories'!A11</f>
        <v>Patient</v>
      </c>
      <c r="B11" s="26" t="str">
        <f>'User Stories'!D11</f>
        <v>As a Patient, I can report a positive virus test and my U.S. location so that the CDC can track the spread of the outbreak.</v>
      </c>
      <c r="C11" s="26" t="str">
        <f>'User Stories'!E11</f>
        <v>The report requires the test date, result, state or territory, and county or equivalent locality; Reports are accepted for every U.S. state and territory; The patient receives confirmation without exposing personal identity in public aggregates.</v>
      </c>
      <c r="D11" s="33" t="s">
        <v>91</v>
      </c>
      <c r="E11" s="48" t="s">
        <v>109</v>
      </c>
      <c r="F11" s="48"/>
      <c r="G11" s="50"/>
      <c r="H11" s="50"/>
      <c r="I11" s="50"/>
    </row>
    <row r="12">
      <c r="A12" s="26" t="str">
        <f>'User Stories'!A12</f>
        <v>Patient</v>
      </c>
      <c r="B12" s="26" t="str">
        <f>'User Stories'!D12</f>
        <v>As a Patient, I can correct a report that I previously submitted so that outbreak data remains accurate.</v>
      </c>
      <c r="C12" s="26" t="str">
        <f>'User Stories'!E12</f>
        <v>The original submission remains traceable to authorized reviewers; A correction requires a reason and timestamp; Relevant aggregate totals reflect the accepted correction.</v>
      </c>
      <c r="D12" s="33" t="s">
        <v>147</v>
      </c>
      <c r="E12" s="48" t="s">
        <v>150</v>
      </c>
      <c r="F12" s="48"/>
      <c r="G12" s="50"/>
      <c r="H12" s="50"/>
      <c r="I12" s="50"/>
    </row>
    <row r="13">
      <c r="A13" s="26" t="str">
        <f>'User Stories'!A13</f>
        <v>Patient</v>
      </c>
      <c r="B13" s="26" t="str">
        <f>'User Stories'!D13</f>
        <v>As a Patient, I can view the heatmap and current guidance for my area so that I can understand local outbreak conditions.</v>
      </c>
      <c r="C13" s="26" t="str">
        <f>'User Stories'!E13</f>
        <v>The heatmap presents only anonymous aggregate data; A patient can select a U.S. state or locality; The view displays the reporting period and current applicable guidance.</v>
      </c>
      <c r="D13" s="33" t="s">
        <v>91</v>
      </c>
      <c r="E13" s="48" t="s">
        <v>134</v>
      </c>
      <c r="F13" s="48"/>
      <c r="G13" s="50"/>
      <c r="H13" s="50"/>
      <c r="I13" s="50"/>
    </row>
    <row r="14">
      <c r="A14" s="26" t="str">
        <f>'User Stories'!A14</f>
        <v>Patient</v>
      </c>
      <c r="B14" s="26" t="str">
        <f>'User Stories'!D14</f>
        <v>As a Patient, I can report public locations visited during the infectious period so that potentially exposed people can be warned without revealing my identity.</v>
      </c>
      <c r="C14" s="26" t="str">
        <f>'User Stories'!E14</f>
        <v>This option is available only for a reported positive case; Each location entry includes the place, locality, and visit date; Public notices do not disclose the reporting patient's identity.</v>
      </c>
      <c r="D14" s="33" t="s">
        <v>147</v>
      </c>
      <c r="E14" s="48" t="s">
        <v>164</v>
      </c>
      <c r="F14" s="48"/>
      <c r="G14" s="50"/>
      <c r="H14" s="50"/>
      <c r="I14" s="50"/>
    </row>
    <row r="15">
      <c r="A15" s="26" t="str">
        <f>'User Stories'!A15</f>
        <v>Test Center</v>
      </c>
      <c r="B15" s="26" t="str">
        <f>'User Stories'!D15</f>
        <v>As a Test Center, I can report tests administered and result counts by day and location so that the CDC can measure testing activity.</v>
      </c>
      <c r="C15" s="26" t="str">
        <f>'User Stories'!E15</f>
        <v>Counts must be whole, nonnegative numbers for a specified center and date; Positive, negative, and inconclusive counts cannot exceed total tests administered; The center receives a submission confirmation.</v>
      </c>
      <c r="D15" s="33" t="s">
        <v>91</v>
      </c>
      <c r="E15" s="48" t="s">
        <v>98</v>
      </c>
      <c r="F15" s="48"/>
      <c r="G15" s="50"/>
      <c r="H15" s="50"/>
      <c r="I15" s="50"/>
    </row>
    <row r="16">
      <c r="A16" s="26" t="str">
        <f>'User Stories'!A16</f>
        <v>Test Center</v>
      </c>
      <c r="B16" s="26" t="str">
        <f>'User Stories'!D16</f>
        <v>As a Test Center, I can view and update test-kit inventory on hand so that I can maintain an accurate supply count.</v>
      </c>
      <c r="C16" s="26" t="str">
        <f>'User Stories'!E16</f>
        <v>Inventory is shown by center and kit type; Each adjustment records the quantity, date, and reason; An adjustment cannot result in negative inventory.</v>
      </c>
      <c r="D16" s="33" t="s">
        <v>147</v>
      </c>
      <c r="E16" s="48" t="s">
        <v>150</v>
      </c>
      <c r="F16" s="48"/>
      <c r="G16" s="50"/>
      <c r="H16" s="50"/>
      <c r="I16" s="50"/>
    </row>
    <row r="17">
      <c r="A17" s="26" t="str">
        <f>'User Stories'!A17</f>
        <v>Test Center</v>
      </c>
      <c r="B17" s="26" t="str">
        <f>'User Stories'!D17</f>
        <v>As a Test Center, I can receive a low-stock warning when inventory crosses a defined threshold so that I can request additional supplies before testing is interrupted.</v>
      </c>
      <c r="C17" s="26" t="str">
        <f>'User Stories'!E17</f>
        <v>A threshold can be defined for each kit type; A warning identifies the center, kit type, threshold, and current quantity; The warning is cleared when inventory is restored above the threshold.</v>
      </c>
      <c r="D17" s="33" t="s">
        <v>147</v>
      </c>
      <c r="E17" s="48" t="s">
        <v>164</v>
      </c>
      <c r="F17" s="48"/>
      <c r="G17" s="50"/>
      <c r="H17" s="50"/>
      <c r="I17" s="50"/>
    </row>
    <row r="18">
      <c r="A18" s="26" t="str">
        <f>'User Stories'!A18</f>
        <v>Test Center</v>
      </c>
      <c r="B18" s="26" t="str">
        <f>'User Stories'!D18</f>
        <v>As a Test Center, I can report a test-kit delivery received so that delivered inventory can be reconciled with shipments.</v>
      </c>
      <c r="C18" s="26" t="str">
        <f>'User Stories'!E18</f>
        <v>A receipt includes the supplier, kit type, quantity, lot identifier, and received date; An accepted receipt increases inventory by the reported quantity; A possible duplicate receipt is identified before acceptance.</v>
      </c>
      <c r="D18" s="33" t="s">
        <v>183</v>
      </c>
      <c r="E18" s="48" t="s">
        <v>186</v>
      </c>
      <c r="F18" s="48"/>
      <c r="G18" s="50"/>
      <c r="H18" s="50"/>
      <c r="I18" s="50"/>
    </row>
    <row r="19">
      <c r="A19" s="26" t="str">
        <f>'User Stories'!A19</f>
        <v>Doctor</v>
      </c>
      <c r="B19" s="26" t="str">
        <f>'User Stories'!D19</f>
        <v>As a Doctor, I can submit a successful treatment or remedy and its patient outcome so that the CDC can assess promising clinical practices.</v>
      </c>
      <c r="C19" s="26" t="str">
        <f>'User Stories'!E19</f>
        <v>The submission excludes directly identifying patient information; The intervention, relevant condition, outcome, and observation date are required; Unverified or anecdotal evidence is clearly labeled.</v>
      </c>
      <c r="D19" s="33" t="s">
        <v>91</v>
      </c>
      <c r="E19" s="48" t="s">
        <v>134</v>
      </c>
      <c r="F19" s="48"/>
      <c r="G19" s="50"/>
      <c r="H19" s="50"/>
      <c r="I19" s="50"/>
    </row>
    <row r="20">
      <c r="A20" s="26" t="str">
        <f>'User Stories'!A20</f>
        <v>Doctor</v>
      </c>
      <c r="B20" s="26" t="str">
        <f>'User Stories'!D20</f>
        <v>As a Doctor, I can view the review status of a treatment submission so that I know whether additional clinical information is required.</v>
      </c>
      <c r="C20" s="26" t="str">
        <f>'User Stories'!E20</f>
        <v>Each submission has a receipt identifier and current review status; A request for more information states what is missing; Status history includes the date of each change.</v>
      </c>
      <c r="D20" s="33" t="s">
        <v>193</v>
      </c>
      <c r="E20" s="48"/>
      <c r="F20" s="48"/>
      <c r="G20" s="50"/>
      <c r="H20" s="50"/>
      <c r="I20" s="50"/>
    </row>
    <row r="21">
      <c r="A21" s="26" t="str">
        <f>'User Stories'!A21</f>
        <v>Doctor</v>
      </c>
      <c r="B21" s="26" t="str">
        <f>'User Stories'!D21</f>
        <v>As a Doctor, I can update a submitted treatment outcome with follow-up information so that the clinical record reflects the latest observed result.</v>
      </c>
      <c r="C21" s="26" t="str">
        <f>'User Stories'!E21</f>
        <v>The prior outcome remains available to authorized reviewers; An update requires an observation date and reason; The latest accepted outcome is clearly distinguished from earlier observations.</v>
      </c>
      <c r="D21" s="33" t="s">
        <v>147</v>
      </c>
      <c r="E21" s="48" t="s">
        <v>164</v>
      </c>
      <c r="F21" s="48"/>
      <c r="G21" s="50"/>
      <c r="H21" s="50"/>
      <c r="I21" s="50"/>
    </row>
    <row r="22">
      <c r="A22" s="26" t="str">
        <f>'User Stories'!A22</f>
        <v>Doctor</v>
      </c>
      <c r="B22" s="26" t="str">
        <f>'User Stories'!D22</f>
        <v>As a Doctor, I can search deidentified summaries of submitted remedies so that I can identify patterns that may inform patient care.</v>
      </c>
      <c r="C22" s="26" t="str">
        <f>'User Stories'!E22</f>
        <v>Results can be filtered by condition, intervention, and reported outcome; Results contain no directly identifying patient information; Each summary distinguishes reported observations from validated guidance.</v>
      </c>
      <c r="D22" s="33" t="s">
        <v>183</v>
      </c>
      <c r="E22" s="48" t="s">
        <v>192</v>
      </c>
      <c r="F22" s="48"/>
      <c r="G22" s="50"/>
      <c r="H22" s="50"/>
      <c r="I22" s="50"/>
    </row>
    <row r="23">
      <c r="A23" s="26" t="str">
        <f>'User Stories'!A23</f>
        <v>Medical Examiner</v>
      </c>
      <c r="B23" s="26" t="str">
        <f>'User Stories'!D23</f>
        <v>As a Medical Examiner, I can report an outbreak-related death by date and jurisdiction so that the CDC can measure mortality.</v>
      </c>
      <c r="C23" s="26" t="str">
        <f>'User Stories'!E23</f>
        <v>The report requires the date, jurisdiction, and outbreak attribution status; A unique case or death reference prevents duplicate counting; The examiner receives confirmation that the report was accepted or rejected.</v>
      </c>
      <c r="D23" s="33" t="s">
        <v>91</v>
      </c>
      <c r="E23" s="48" t="s">
        <v>98</v>
      </c>
      <c r="F23" s="48"/>
      <c r="G23" s="50"/>
      <c r="H23" s="50"/>
      <c r="I23" s="50"/>
    </row>
    <row r="24">
      <c r="A24" s="26" t="str">
        <f>'User Stories'!A24</f>
        <v>Medical Examiner</v>
      </c>
      <c r="B24" s="26" t="str">
        <f>'User Stories'!D24</f>
        <v>As a Medical Examiner, I can record deidentified demographic and comorbidity information so that mortality patterns can be analyzed across populations.</v>
      </c>
      <c r="C24" s="26" t="str">
        <f>'User Stories'!E24</f>
        <v>Demographic values use consistent categories and allow an unknown value; Direct identifiers are excluded from CDC aggregate views; Submitted attributes remain linked to the correct death record.</v>
      </c>
      <c r="D24" s="33" t="s">
        <v>147</v>
      </c>
      <c r="E24" s="48" t="s">
        <v>150</v>
      </c>
      <c r="F24" s="48"/>
      <c r="G24" s="50"/>
      <c r="H24" s="50"/>
      <c r="I24" s="50"/>
    </row>
    <row r="25">
      <c r="A25" s="26" t="str">
        <f>'User Stories'!A25</f>
        <v>Medical Examiner</v>
      </c>
      <c r="B25" s="26" t="str">
        <f>'User Stories'!D25</f>
        <v>As a Medical Examiner, I can amend a death record after official review so that mortality totals reflect corrected findings.</v>
      </c>
      <c r="C25" s="26" t="str">
        <f>'User Stories'!E25</f>
        <v>The original record remains available to authorized reviewers; An amendment requires the author, timestamp, and reason; Affected mortality totals reflect the accepted amendment.</v>
      </c>
      <c r="D25" s="33" t="s">
        <v>183</v>
      </c>
      <c r="E25" s="48" t="s">
        <v>186</v>
      </c>
      <c r="F25" s="48"/>
      <c r="G25" s="50"/>
      <c r="H25" s="50"/>
      <c r="I25" s="50"/>
    </row>
    <row r="26">
      <c r="A26" s="26" t="str">
        <f>'User Stories'!A26</f>
        <v>Medical Examiner</v>
      </c>
      <c r="B26" s="26" t="str">
        <f>'User Stories'!D26</f>
        <v>As a Medical Examiner, I can view my submission history and rejection reasons so that I can verify that official records were received and correct errors.</v>
      </c>
      <c r="C26" s="26" t="str">
        <f>'User Stories'!E26</f>
        <v>Each submission displays its receipt identifier, date, and status; Rejected submissions include a specific reason; History can be filtered by date and jurisdiction.</v>
      </c>
      <c r="D26" s="33" t="s">
        <v>193</v>
      </c>
      <c r="E26" s="48"/>
      <c r="F26" s="48"/>
      <c r="G26" s="50"/>
      <c r="H26" s="50"/>
      <c r="I26" s="50"/>
    </row>
    <row r="27">
      <c r="A27" s="26" t="str">
        <f>'User Stories'!A27</f>
        <v>Healthcare Company</v>
      </c>
      <c r="B27" s="26" t="str">
        <f>'User Stories'!D27</f>
        <v>As a Healthcare Company, I can report test kits produced by product and date so that the CDC can determine available national supply.</v>
      </c>
      <c r="C27" s="26" t="str">
        <f>'User Stories'!E27</f>
        <v>The report requires the company, kit type, production date, and nonnegative whole-number quantity; The reporting period is explicit; The company receives confirmation of the accepted quantity.</v>
      </c>
      <c r="D27" s="33" t="s">
        <v>91</v>
      </c>
      <c r="E27" s="48" t="s">
        <v>109</v>
      </c>
      <c r="F27" s="48"/>
      <c r="G27" s="50"/>
      <c r="H27" s="50"/>
      <c r="I27" s="50"/>
    </row>
    <row r="28">
      <c r="A28" s="26" t="str">
        <f>'User Stories'!A28</f>
        <v>Healthcare Company</v>
      </c>
      <c r="B28" s="26" t="str">
        <f>'User Stories'!D28</f>
        <v>As a Healthcare Company, I can report test-kit shipments to test centers so that the CDC can distinguish produced supply from supply in transit or delivered.</v>
      </c>
      <c r="C28" s="26" t="str">
        <f>'User Stories'!E28</f>
        <v>Each shipment identifies the destination center, kit type, quantity, and ship date; Shipment status distinguishes in-transit and delivered quantities; Reported shipment quantity cannot exceed available reported supply without a warning.</v>
      </c>
      <c r="D28" s="33" t="s">
        <v>147</v>
      </c>
      <c r="E28" s="48" t="s">
        <v>150</v>
      </c>
      <c r="F28" s="48"/>
      <c r="G28" s="50"/>
      <c r="H28" s="50"/>
      <c r="I28" s="50"/>
    </row>
    <row r="29">
      <c r="A29" s="26" t="str">
        <f>'User Stories'!A29</f>
        <v>Healthcare Company</v>
      </c>
      <c r="B29" s="26" t="str">
        <f>'User Stories'!D29</f>
        <v>As a Healthcare Company, I can submit a production-capacity forecast so that the CDC can anticipate future supply constraints.</v>
      </c>
      <c r="C29" s="26" t="str">
        <f>'User Stories'!E29</f>
        <v>A forecast specifies the kit type, time period, expected capacity, and uncertainty; The latest forecast is distinguishable from prior forecasts; A company can indicate a known constraint affecting capacity.</v>
      </c>
      <c r="D29" s="33" t="s">
        <v>147</v>
      </c>
      <c r="E29" s="48" t="s">
        <v>164</v>
      </c>
      <c r="F29" s="48"/>
      <c r="G29" s="50"/>
      <c r="H29" s="50"/>
      <c r="I29" s="50"/>
    </row>
    <row r="30">
      <c r="A30" s="26" t="str">
        <f>'User Stories'!A30</f>
        <v>Healthcare Company</v>
      </c>
      <c r="B30" s="26" t="str">
        <f>'User Stories'!D30</f>
        <v>As a Healthcare Company, I can correct a production or shipment submission so that downstream supply totals remain accurate.</v>
      </c>
      <c r="C30" s="26" t="str">
        <f>'User Stories'!E30</f>
        <v>The original submission remains traceable to authorized reviewers; A correction requires a reason, author, and timestamp; Supply totals reflect the accepted correction without double counting.</v>
      </c>
      <c r="D30" s="33" t="s">
        <v>183</v>
      </c>
      <c r="E30" s="48" t="s">
        <v>192</v>
      </c>
      <c r="F30" s="48"/>
      <c r="G30" s="50"/>
      <c r="H30" s="50"/>
      <c r="I30" s="50"/>
    </row>
    <row r="31">
      <c r="A31" s="26" t="str">
        <f>'User Stories'!A31</f>
        <v/>
      </c>
      <c r="B31" s="26" t="str">
        <f>'User Stories'!D31</f>
        <v>As a  I can  so that .</v>
      </c>
      <c r="C31" s="26" t="str">
        <f>'User Stories'!E31</f>
        <v/>
      </c>
      <c r="D31" s="33"/>
      <c r="E31" s="48"/>
      <c r="F31" s="48"/>
      <c r="G31" s="50"/>
      <c r="H31" s="50"/>
      <c r="I31" s="50"/>
    </row>
    <row r="32">
      <c r="A32" s="26" t="str">
        <f>'User Stories'!A32</f>
        <v/>
      </c>
      <c r="B32" s="26" t="str">
        <f>'User Stories'!D32</f>
        <v>As a  I can  so that .</v>
      </c>
      <c r="C32" s="26" t="str">
        <f>'User Stories'!E32</f>
        <v/>
      </c>
      <c r="D32" s="33"/>
      <c r="E32" s="48"/>
      <c r="F32" s="48"/>
      <c r="G32" s="50"/>
      <c r="H32" s="50"/>
      <c r="I32" s="50"/>
    </row>
    <row r="33">
      <c r="A33" s="26" t="str">
        <f>'User Stories'!A33</f>
        <v/>
      </c>
      <c r="B33" s="26" t="str">
        <f>'User Stories'!D33</f>
        <v>As a  I can  so that .</v>
      </c>
      <c r="C33" s="26" t="str">
        <f>'User Stories'!E33</f>
        <v/>
      </c>
      <c r="D33" s="33"/>
      <c r="E33" s="48"/>
      <c r="F33" s="48"/>
      <c r="G33" s="50"/>
      <c r="H33" s="50"/>
      <c r="I33" s="50"/>
    </row>
    <row r="34">
      <c r="A34" s="26" t="str">
        <f>'User Stories'!A34</f>
        <v/>
      </c>
      <c r="B34" s="26" t="str">
        <f>'User Stories'!D34</f>
        <v>As a  I can  so that .</v>
      </c>
      <c r="C34" s="26" t="str">
        <f>'User Stories'!E34</f>
        <v/>
      </c>
      <c r="D34" s="33"/>
      <c r="E34" s="48"/>
      <c r="F34" s="48"/>
      <c r="G34" s="50"/>
      <c r="H34" s="50"/>
      <c r="I34" s="50"/>
    </row>
    <row r="35">
      <c r="A35" s="26" t="str">
        <f>'User Stories'!A35</f>
        <v/>
      </c>
      <c r="B35" s="26" t="str">
        <f>'User Stories'!D35</f>
        <v>As a  I can  so that .</v>
      </c>
      <c r="C35" s="26" t="str">
        <f>'User Stories'!E35</f>
        <v/>
      </c>
      <c r="D35" s="33"/>
      <c r="E35" s="48"/>
      <c r="F35" s="48"/>
      <c r="G35" s="50"/>
      <c r="H35" s="50"/>
      <c r="I35" s="50"/>
    </row>
    <row r="36">
      <c r="A36" s="26" t="str">
        <f>'User Stories'!A36</f>
        <v/>
      </c>
      <c r="B36" s="26" t="str">
        <f>'User Stories'!D36</f>
        <v>As a  I can  so that .</v>
      </c>
      <c r="C36" s="26" t="str">
        <f>'User Stories'!E36</f>
        <v/>
      </c>
      <c r="D36" s="33"/>
      <c r="E36" s="48"/>
      <c r="F36" s="48"/>
      <c r="G36" s="50"/>
      <c r="H36" s="50"/>
      <c r="I36" s="50"/>
    </row>
    <row r="37">
      <c r="A37" s="26" t="str">
        <f>'User Stories'!A37</f>
        <v/>
      </c>
      <c r="B37" s="26" t="str">
        <f>'User Stories'!D37</f>
        <v>As a  I can  so that .</v>
      </c>
      <c r="C37" s="26" t="str">
        <f>'User Stories'!E37</f>
        <v/>
      </c>
      <c r="D37" s="33"/>
      <c r="E37" s="48"/>
      <c r="F37" s="48"/>
      <c r="G37" s="50"/>
      <c r="H37" s="50"/>
      <c r="I37" s="50"/>
    </row>
    <row r="38">
      <c r="A38" s="26" t="str">
        <f>'User Stories'!A37</f>
        <v/>
      </c>
      <c r="B38" s="26" t="str">
        <f>'User Stories'!D37</f>
        <v>As a  I can  so that .</v>
      </c>
      <c r="C38" s="26" t="str">
        <f>'User Stories'!E37</f>
        <v/>
      </c>
      <c r="D38" s="33"/>
      <c r="E38" s="48"/>
      <c r="F38" s="48"/>
      <c r="G38" s="50"/>
      <c r="H38" s="50"/>
      <c r="I38" s="50"/>
    </row>
    <row r="39">
      <c r="A39" s="26" t="str">
        <f>'User Stories'!A38</f>
        <v/>
      </c>
      <c r="B39" s="26" t="str">
        <f>'User Stories'!D38</f>
        <v>As a  I can  so that .</v>
      </c>
      <c r="C39" s="26" t="str">
        <f>'User Stories'!E38</f>
        <v/>
      </c>
      <c r="D39" s="33"/>
      <c r="E39" s="48"/>
      <c r="F39" s="48"/>
      <c r="G39" s="50"/>
      <c r="H39" s="50"/>
      <c r="I39" s="50"/>
    </row>
  </sheetData>
  <autoFilter ref="$A$2:$I$39">
    <sortState ref="A2:I39">
      <sortCondition ref="A2:A39"/>
    </sortState>
  </autoFilter>
  <mergeCells count="1">
    <mergeCell ref="A1:I1"/>
  </mergeCells>
  <dataValidations>
    <dataValidation type="list" allowBlank="1" sqref="D3:D39">
      <formula1>"Release 1-MVP,Release 2,Release 3,Backlog for Future Release"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2" max="2" width="9.0"/>
    <col customWidth="1" min="3" max="3" width="67.5"/>
    <col customWidth="1" min="4" max="4" width="11.25"/>
  </cols>
  <sheetData>
    <row r="1">
      <c r="A1" s="1" t="s">
        <v>82</v>
      </c>
      <c r="B1" s="3"/>
      <c r="C1" s="3"/>
      <c r="D1" s="4"/>
    </row>
    <row r="2">
      <c r="A2" s="32" t="s">
        <v>89</v>
      </c>
      <c r="B2" s="32" t="s">
        <v>95</v>
      </c>
      <c r="C2" s="32" t="s">
        <v>25</v>
      </c>
      <c r="D2" s="32" t="s">
        <v>101</v>
      </c>
    </row>
    <row r="3">
      <c r="A3" s="35" t="s">
        <v>103</v>
      </c>
      <c r="B3" s="36" t="s">
        <v>109</v>
      </c>
      <c r="C3" s="26" t="s">
        <v>69</v>
      </c>
      <c r="D3" s="41">
        <v>2.0</v>
      </c>
    </row>
    <row r="4">
      <c r="A4" s="44"/>
      <c r="B4" s="44"/>
      <c r="C4" s="26" t="s">
        <v>99</v>
      </c>
      <c r="D4" s="41">
        <v>3.0</v>
      </c>
    </row>
    <row r="5">
      <c r="A5" s="44"/>
      <c r="B5" s="46"/>
      <c r="C5" s="26" t="s">
        <v>123</v>
      </c>
      <c r="D5" s="41">
        <v>3.0</v>
      </c>
    </row>
    <row r="6">
      <c r="A6" s="44"/>
      <c r="B6" s="36" t="s">
        <v>98</v>
      </c>
      <c r="C6" s="26" t="s">
        <v>19</v>
      </c>
      <c r="D6" s="41">
        <v>5.0</v>
      </c>
    </row>
    <row r="7">
      <c r="A7" s="44"/>
      <c r="B7" s="44"/>
      <c r="C7" s="26" t="s">
        <v>128</v>
      </c>
      <c r="D7" s="41">
        <v>0.5</v>
      </c>
    </row>
    <row r="8">
      <c r="A8" s="44"/>
      <c r="B8" s="44"/>
      <c r="C8" s="26" t="s">
        <v>121</v>
      </c>
      <c r="D8" s="41">
        <v>2.0</v>
      </c>
    </row>
    <row r="9">
      <c r="A9" s="44"/>
      <c r="B9" s="46"/>
      <c r="C9" s="26" t="s">
        <v>48</v>
      </c>
      <c r="D9" s="41">
        <v>0.5</v>
      </c>
    </row>
    <row r="10">
      <c r="A10" s="44"/>
      <c r="B10" s="36" t="s">
        <v>134</v>
      </c>
      <c r="C10" s="26" t="s">
        <v>138</v>
      </c>
      <c r="D10" s="41">
        <v>5.0</v>
      </c>
    </row>
    <row r="11">
      <c r="A11" s="44"/>
      <c r="B11" s="44"/>
      <c r="C11" s="26" t="s">
        <v>56</v>
      </c>
      <c r="D11" s="41">
        <v>2.0</v>
      </c>
    </row>
    <row r="12">
      <c r="A12" s="46"/>
      <c r="B12" s="46"/>
      <c r="C12" s="26" t="s">
        <v>112</v>
      </c>
      <c r="D12" s="41">
        <v>1.0</v>
      </c>
    </row>
    <row r="13">
      <c r="A13" s="52" t="s">
        <v>147</v>
      </c>
      <c r="B13" s="36" t="s">
        <v>150</v>
      </c>
      <c r="C13" s="26" t="s">
        <v>106</v>
      </c>
      <c r="D13" s="41">
        <v>5.0</v>
      </c>
    </row>
    <row r="14">
      <c r="A14" s="44"/>
      <c r="B14" s="44"/>
      <c r="C14" s="26" t="s">
        <v>126</v>
      </c>
      <c r="D14" s="41">
        <v>0.5</v>
      </c>
    </row>
    <row r="15">
      <c r="A15" s="44"/>
      <c r="B15" s="44"/>
      <c r="C15" s="26" t="s">
        <v>160</v>
      </c>
      <c r="D15" s="41">
        <v>1.0</v>
      </c>
    </row>
    <row r="16">
      <c r="A16" s="44"/>
      <c r="B16" s="44"/>
      <c r="C16" s="26" t="s">
        <v>162</v>
      </c>
      <c r="D16" s="41">
        <v>1.0</v>
      </c>
    </row>
    <row r="17">
      <c r="A17" s="44"/>
      <c r="B17" s="46"/>
      <c r="C17" s="26" t="s">
        <v>75</v>
      </c>
      <c r="D17" s="41">
        <v>0.5</v>
      </c>
    </row>
    <row r="18">
      <c r="A18" s="44"/>
      <c r="B18" s="36" t="s">
        <v>164</v>
      </c>
      <c r="C18" s="26" t="s">
        <v>62</v>
      </c>
      <c r="D18" s="41">
        <v>1.0</v>
      </c>
    </row>
    <row r="19">
      <c r="A19" s="44"/>
      <c r="B19" s="44"/>
      <c r="C19" s="26" t="s">
        <v>116</v>
      </c>
      <c r="D19" s="41">
        <v>2.0</v>
      </c>
    </row>
    <row r="20">
      <c r="A20" s="44"/>
      <c r="B20" s="44"/>
      <c r="C20" s="26" t="s">
        <v>131</v>
      </c>
      <c r="D20" s="41">
        <v>2.0</v>
      </c>
    </row>
    <row r="21">
      <c r="A21" s="44"/>
      <c r="B21" s="44"/>
      <c r="C21" s="26" t="s">
        <v>151</v>
      </c>
      <c r="D21" s="41">
        <v>1.0</v>
      </c>
    </row>
    <row r="22">
      <c r="A22" s="46"/>
      <c r="B22" s="46"/>
      <c r="C22" s="26" t="s">
        <v>181</v>
      </c>
      <c r="D22" s="41">
        <v>3.0</v>
      </c>
    </row>
    <row r="23">
      <c r="A23" s="53" t="s">
        <v>183</v>
      </c>
      <c r="B23" s="36" t="s">
        <v>186</v>
      </c>
      <c r="C23" s="26" t="s">
        <v>136</v>
      </c>
      <c r="D23" s="41">
        <v>3.0</v>
      </c>
    </row>
    <row r="24">
      <c r="A24" s="44"/>
      <c r="B24" s="46"/>
      <c r="C24" s="26" t="s">
        <v>169</v>
      </c>
      <c r="D24" s="41">
        <v>5.0</v>
      </c>
    </row>
    <row r="25">
      <c r="A25" s="44"/>
      <c r="B25" s="36" t="s">
        <v>192</v>
      </c>
      <c r="C25" s="26" t="s">
        <v>81</v>
      </c>
      <c r="D25" s="41">
        <v>2.0</v>
      </c>
    </row>
    <row r="26">
      <c r="A26" s="44"/>
      <c r="B26" s="44"/>
      <c r="C26" s="26" t="s">
        <v>155</v>
      </c>
      <c r="D26" s="41">
        <v>0.5</v>
      </c>
    </row>
    <row r="27">
      <c r="A27" s="46"/>
      <c r="B27" s="46"/>
      <c r="C27" s="26" t="s">
        <v>190</v>
      </c>
      <c r="D27" s="41">
        <v>5.0</v>
      </c>
    </row>
  </sheetData>
  <mergeCells count="11">
    <mergeCell ref="A13:A22"/>
    <mergeCell ref="A23:A27"/>
    <mergeCell ref="B23:B24"/>
    <mergeCell ref="B25:B27"/>
    <mergeCell ref="A1:D1"/>
    <mergeCell ref="A3:A12"/>
    <mergeCell ref="B3:B5"/>
    <mergeCell ref="B6:B9"/>
    <mergeCell ref="B10:B12"/>
    <mergeCell ref="B13:B17"/>
    <mergeCell ref="B18:B22"/>
  </mergeCells>
  <drawing r:id="rId1"/>
</worksheet>
</file>